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0"/>
  <workbookPr/>
  <mc:AlternateContent xmlns:mc="http://schemas.openxmlformats.org/markup-compatibility/2006">
    <mc:Choice Requires="x15">
      <x15ac:absPath xmlns:x15ac="http://schemas.microsoft.com/office/spreadsheetml/2010/11/ac" url="C:\Users\HP\Documents\UNIVERSIDAD\3 SEMESTRE\IMPLEMENTACION DE PROYECTO\"/>
    </mc:Choice>
  </mc:AlternateContent>
  <xr:revisionPtr revIDLastSave="11" documentId="8_{D1963221-7A31-40FD-B7B3-4253CB4607A1}" xr6:coauthVersionLast="47" xr6:coauthVersionMax="47" xr10:uidLastSave="{DC7DA7A2-525A-4588-A484-A35BBB67E9AB}"/>
  <bookViews>
    <workbookView xWindow="-120" yWindow="-120" windowWidth="20730" windowHeight="11760" tabRatio="610" firstSheet="2" activeTab="2" xr2:uid="{00000000-000D-0000-FFFF-FFFF00000000}"/>
  </bookViews>
  <sheets>
    <sheet name="INDICE " sheetId="15" r:id="rId1"/>
    <sheet name="VIMIVA" sheetId="14" r:id="rId2"/>
    <sheet name="FODA" sheetId="11" r:id="rId3"/>
    <sheet name="FACTORES" sheetId="5" r:id="rId4"/>
    <sheet name="ESTRATEGIAS " sheetId="12" state="hidden" r:id="rId5"/>
    <sheet name="PLANES DE ACCION" sheetId="9" state="hidden" r:id="rId6"/>
    <sheet name="DASHBOARD" sheetId="1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2" l="1"/>
  <c r="K3" i="11"/>
  <c r="K4" i="11"/>
  <c r="K5" i="11"/>
  <c r="K2" i="11"/>
  <c r="H5" i="5"/>
  <c r="H4" i="5"/>
  <c r="H3" i="5"/>
  <c r="H2" i="5"/>
  <c r="J5" i="12"/>
  <c r="J4" i="12"/>
  <c r="J3" i="12"/>
  <c r="D2" i="12"/>
  <c r="I11" i="12"/>
  <c r="I12" i="12"/>
  <c r="I13" i="12"/>
  <c r="I14" i="12"/>
  <c r="I10" i="12"/>
  <c r="D9" i="5"/>
  <c r="D10" i="5"/>
  <c r="D11" i="5"/>
  <c r="I26" i="5" l="1"/>
  <c r="I9" i="5"/>
  <c r="E10" i="5" l="1"/>
  <c r="E9" i="5"/>
  <c r="C10" i="9" l="1"/>
  <c r="E10" i="12"/>
  <c r="H4" i="13"/>
  <c r="H3" i="13"/>
  <c r="H5" i="13"/>
  <c r="H2" i="13"/>
  <c r="C2" i="13"/>
  <c r="C2" i="9"/>
  <c r="D2" i="11"/>
  <c r="C2" i="5"/>
  <c r="C19" i="9" l="1"/>
  <c r="B19" i="9"/>
  <c r="C18" i="9"/>
  <c r="B18" i="9"/>
  <c r="B17" i="9"/>
  <c r="C17" i="9"/>
  <c r="C16" i="9"/>
  <c r="B16" i="9"/>
  <c r="B14" i="9"/>
  <c r="C14" i="9"/>
  <c r="B15" i="9"/>
  <c r="C15" i="9"/>
  <c r="B13" i="9"/>
  <c r="C13" i="9"/>
  <c r="C12" i="9"/>
  <c r="C11" i="9"/>
  <c r="B12" i="9"/>
  <c r="B11" i="9"/>
  <c r="B10" i="9"/>
  <c r="I23" i="5"/>
  <c r="I24" i="5"/>
  <c r="I25" i="5"/>
  <c r="I27" i="5"/>
  <c r="I28" i="5"/>
  <c r="I29" i="5"/>
  <c r="I30" i="5"/>
  <c r="I31" i="5"/>
  <c r="I22" i="5"/>
  <c r="I15" i="5"/>
  <c r="I16" i="5"/>
  <c r="I17" i="5"/>
  <c r="I18" i="5"/>
  <c r="I14" i="5"/>
  <c r="I10" i="5"/>
  <c r="I11" i="5"/>
  <c r="I12" i="5"/>
  <c r="I13" i="5"/>
  <c r="L23" i="13"/>
  <c r="L21" i="13"/>
  <c r="L22" i="13"/>
  <c r="D28" i="5"/>
  <c r="E28" i="5"/>
  <c r="D29" i="5"/>
  <c r="E29" i="5"/>
  <c r="D30" i="5"/>
  <c r="E30" i="5"/>
  <c r="D31" i="5"/>
  <c r="E31" i="5"/>
  <c r="E27" i="5"/>
  <c r="D27" i="5"/>
  <c r="D23" i="5"/>
  <c r="E23" i="5"/>
  <c r="D24" i="5"/>
  <c r="E24" i="5"/>
  <c r="D25" i="5"/>
  <c r="E25" i="5"/>
  <c r="D26" i="5"/>
  <c r="E26" i="5"/>
  <c r="E22" i="5"/>
  <c r="D22" i="5"/>
  <c r="D15" i="5"/>
  <c r="E15" i="5"/>
  <c r="D16" i="5"/>
  <c r="E16" i="5"/>
  <c r="D17" i="5"/>
  <c r="E17" i="5"/>
  <c r="D18" i="5"/>
  <c r="E18" i="5"/>
  <c r="E14" i="5"/>
  <c r="D14" i="5"/>
  <c r="E11" i="5"/>
  <c r="D12" i="5"/>
  <c r="E12" i="5"/>
  <c r="D13" i="5"/>
  <c r="E13" i="5"/>
  <c r="B23" i="12"/>
  <c r="C23" i="12"/>
  <c r="B24" i="12"/>
  <c r="C24" i="12"/>
  <c r="B25" i="12"/>
  <c r="C25" i="12"/>
  <c r="B26" i="12"/>
  <c r="C26" i="12"/>
  <c r="C22" i="12"/>
  <c r="B22" i="12"/>
  <c r="E11" i="12"/>
  <c r="E12" i="12"/>
  <c r="E13" i="12"/>
  <c r="E14" i="12"/>
  <c r="D10" i="12"/>
  <c r="B17" i="12"/>
  <c r="B18" i="12"/>
  <c r="B19" i="12"/>
  <c r="B20" i="12"/>
  <c r="B16" i="12"/>
  <c r="C19" i="12"/>
  <c r="C17" i="12"/>
  <c r="C18" i="12"/>
  <c r="C20" i="12"/>
  <c r="C16" i="12"/>
  <c r="L22" i="5" l="1"/>
  <c r="H21" i="13" s="1"/>
  <c r="L24" i="5"/>
  <c r="H23" i="13" s="1"/>
  <c r="L23" i="5"/>
  <c r="H22" i="13" s="1"/>
  <c r="L25" i="5"/>
  <c r="H24" i="13" s="1"/>
  <c r="D27" i="13" l="1"/>
  <c r="E27" i="13" s="1"/>
  <c r="L26" i="5"/>
  <c r="M24" i="5" l="1"/>
  <c r="D23" i="13" s="1"/>
  <c r="M22" i="5"/>
  <c r="D21" i="13" s="1"/>
  <c r="M25" i="5"/>
  <c r="D24" i="13" s="1"/>
  <c r="M23" i="5"/>
  <c r="D22"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JULIO</author>
  </authors>
  <commentList>
    <comment ref="B8" authorId="0" shapeId="0" xr:uid="{6DD0E568-B50A-47A3-AD72-530BA3A3063F}">
      <text>
        <r>
          <rPr>
            <sz val="9"/>
            <color indexed="81"/>
            <rFont val="Tahoma"/>
            <family val="2"/>
          </rPr>
          <t>La visión es una meta de plazo amplio donde se establece la aspiración sobre los logros de una empresa y lo que se desea acerca de su estado futuro. Así, define la ruta a seguir tanto para los directivos como para los empleados.
La visión de una empresa establece su dirección; es decir, responde a la pregunta «¿qué queremos para el futuro?». También responde a «¿cómo llegaremos?».
La visión trata acerca de adónde quiere llegar. Da sentido a los objetivos de corto plazo y mediano plazo, tanto a nivel estratégico como operativo.</t>
        </r>
      </text>
    </comment>
    <comment ref="B15" authorId="0" shapeId="0" xr:uid="{4997D991-66FF-4279-A224-8F981E0FAA00}">
      <text>
        <r>
          <rPr>
            <sz val="9"/>
            <color indexed="81"/>
            <rFont val="Tahoma"/>
            <family val="2"/>
          </rPr>
          <t xml:space="preserve">La misión de una empresa es una herramienta estratégica que sintetiza el propósito de una empresa. Es el objetivo o la propuesta que sirve a la sociedad, así como la base del plan de negocios y de las estrategias operativas. Generalmente incluye una descripción general de la organización, su función y objetivos.
La misión de una empresa declara su finalidad a partir de la pregunta «¿por qué existe este negocio?», por lo que sirve como guía a la hora de tomar decisiones estratégicas. Cumple además con un rol inspirador para los trabajadores, ya que individualmente responde a la pregunta «¿cuál es el valor de mi trabajo aquí?». Esta es la directriz que lleva sus labores particulares hacia los objetivos compartidos. </t>
        </r>
      </text>
    </comment>
    <comment ref="B22" authorId="0" shapeId="0" xr:uid="{0CB57E52-83DC-4951-AF45-B25436062A9C}">
      <text>
        <r>
          <rPr>
            <sz val="9"/>
            <color indexed="81"/>
            <rFont val="Tahoma"/>
            <family val="2"/>
          </rPr>
          <t xml:space="preserve">Los valores corporativos son los principios que orientan las acciones y decisiones laborales. Tienen implicaciones sociales, de desarrollo, en las dinámicas de trabajo y en el servicio al cliente.
Los valores de una empresa son los pilares de la identidad organizativa, en tanto que guían la toma de decisiones y te permiten dar sentido a las acciones del día a día.
Es vital que todos los colaboradores los conozcan para que tengan un referente de cuál camino elegir.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JULIO</author>
  </authors>
  <commentList>
    <comment ref="B7" authorId="0" shapeId="0" xr:uid="{CA5A2386-E9CD-4CA5-9816-62DB22798E5A}">
      <text>
        <r>
          <rPr>
            <b/>
            <sz val="9"/>
            <color indexed="81"/>
            <rFont val="Tahoma"/>
            <family val="2"/>
          </rPr>
          <t>Estructura de la organización</t>
        </r>
        <r>
          <rPr>
            <sz val="9"/>
            <color indexed="81"/>
            <rFont val="Tahoma"/>
            <family val="2"/>
          </rPr>
          <t xml:space="preserve">
*¿Nuestra organización dispone de un organigrama sencillo, complejo en dónde fluye la información de forma sencilla, compleja?, 
*¿Existen subcontrataciones de ciertos procesos/actividades que se encuentran dentro de nuestro alcance?,
*¿Existen ciertos departamentos o puestos de trabajo para el desarrollo de la actividad?
</t>
        </r>
        <r>
          <rPr>
            <b/>
            <sz val="9"/>
            <color indexed="81"/>
            <rFont val="Tahoma"/>
            <family val="2"/>
          </rPr>
          <t>Competencia y formación</t>
        </r>
        <r>
          <rPr>
            <sz val="9"/>
            <color indexed="81"/>
            <rFont val="Tahoma"/>
            <family val="2"/>
          </rPr>
          <t xml:space="preserve">
*¿Es necesaria formación complementaria para desarrollar ciertos puestos de trabajo?, ¿Está nuestro sector en continuo cambio tecnológico que nos obliga a formarnos continuamente?
</t>
        </r>
        <r>
          <rPr>
            <b/>
            <sz val="9"/>
            <color indexed="81"/>
            <rFont val="Tahoma"/>
            <family val="2"/>
          </rPr>
          <t xml:space="preserve">Política de la organización y de la Calidad
</t>
        </r>
        <r>
          <rPr>
            <sz val="9"/>
            <color indexed="81"/>
            <rFont val="Tahoma"/>
            <family val="2"/>
          </rPr>
          <t xml:space="preserve">¿Existe una misión / visión / política establecida en la organización? (política salarial, promocional, etc)?
</t>
        </r>
        <r>
          <rPr>
            <b/>
            <sz val="9"/>
            <color indexed="81"/>
            <rFont val="Tahoma"/>
            <family val="2"/>
          </rPr>
          <t xml:space="preserve">Objetivos estratégicos de la alta dirección y de la organización
</t>
        </r>
        <r>
          <rPr>
            <sz val="9"/>
            <color indexed="81"/>
            <rFont val="Tahoma"/>
            <family val="2"/>
          </rPr>
          <t xml:space="preserve">¿Existen objetivos estratégicos establecidos? (objetivos de ventas, nuevos mercados, nuevos proyectos, etc)
</t>
        </r>
      </text>
    </comment>
    <comment ref="E7" authorId="0" shapeId="0" xr:uid="{E4C6BB69-374E-456B-BB9D-49471EB37F2F}">
      <text>
        <r>
          <rPr>
            <sz val="9"/>
            <color indexed="81"/>
            <rFont val="Tahoma"/>
            <family val="2"/>
          </rPr>
          <t>¿En qué somos mejores?
¿Cuáles son las ventajas de la empresa?
¿Cuáles son los factores que nos hacen merecedores de esa oportunidad?
¿Cuál es nuestra propuesta de valor?
¿Como está nuestro músculo financiero?
¿Qué puntos fuertes ve el mercado en nosotros?</t>
        </r>
      </text>
    </comment>
    <comment ref="I7" authorId="0" shapeId="0" xr:uid="{3BB0E342-FCB6-416F-9531-F9A9E686B4C1}">
      <text>
        <r>
          <rPr>
            <sz val="9"/>
            <color indexed="81"/>
            <rFont val="Tahoma"/>
            <family val="2"/>
          </rPr>
          <t>¿En qué podemos mejorar?
¿Qué deberíamos dejar de hacer?
¿Qué aspectos negativos ha mencionado el mercado y los clientes?
¿Por qué estamos perdiendo las ventas?
¿En qué nos falta más experiencia?
¿Qué tiene la competencia que no tengamos nosotros y nos esté afectando?</t>
        </r>
      </text>
    </comment>
    <comment ref="B13" authorId="0" shapeId="0" xr:uid="{64E55ABD-371D-4A2D-AAFF-42D570A0688F}">
      <text>
        <r>
          <rPr>
            <b/>
            <sz val="9"/>
            <color indexed="81"/>
            <rFont val="Tahoma"/>
            <family val="2"/>
          </rPr>
          <t xml:space="preserve">Situación legal y regulatoria de nuestro sector
</t>
        </r>
        <r>
          <rPr>
            <sz val="9"/>
            <color indexed="81"/>
            <rFont val="Tahoma"/>
            <family val="2"/>
          </rPr>
          <t xml:space="preserve">¿nuestro sector está mucho/poco/medianamente regulado con normativas, leyes, regulaciones?
</t>
        </r>
        <r>
          <rPr>
            <b/>
            <sz val="9"/>
            <color indexed="81"/>
            <rFont val="Tahoma"/>
            <family val="2"/>
          </rPr>
          <t xml:space="preserve">Entorno competitivo del sector al que nos dedicamos:
</t>
        </r>
        <r>
          <rPr>
            <sz val="9"/>
            <color indexed="81"/>
            <rFont val="Tahoma"/>
            <family val="2"/>
          </rPr>
          <t xml:space="preserve">¿La competencia es poco/mucho/medianamente agresiva frente a política de precios?
</t>
        </r>
        <r>
          <rPr>
            <b/>
            <sz val="9"/>
            <color indexed="81"/>
            <rFont val="Tahoma"/>
            <family val="2"/>
          </rPr>
          <t xml:space="preserve">Percepción y relación que tenemos con nuestros clientes:
</t>
        </r>
        <r>
          <rPr>
            <sz val="9"/>
            <color indexed="81"/>
            <rFont val="Tahoma"/>
            <family val="2"/>
          </rPr>
          <t xml:space="preserve">¿Tenemos establecida una buena comunicación con los clientes? (existen procedimiento y/o protocolos sobre cómo comunicarnos con los clientes: antes, durante y después de la prestación del servicio o la entrega del producto), ¿existe una alta concentración de nuestra facturación en unos pocos clientes de nuestra cartera?
</t>
        </r>
        <r>
          <rPr>
            <b/>
            <sz val="9"/>
            <color indexed="81"/>
            <rFont val="Tahoma"/>
            <family val="2"/>
          </rPr>
          <t xml:space="preserve">Proveedores y relación que tenemos con los mismos:
</t>
        </r>
        <r>
          <rPr>
            <sz val="9"/>
            <color indexed="81"/>
            <rFont val="Tahoma"/>
            <family val="2"/>
          </rPr>
          <t>¿Existe un adecuado control de la calidad del servicio de nuestros proveedores?, ¿Existen proveedores críticos por el tipo de servicio o producto que nos suministran?</t>
        </r>
      </text>
    </comment>
    <comment ref="E13" authorId="0" shapeId="0" xr:uid="{D878E845-8E48-47D8-AD17-E11D26A88E10}">
      <text>
        <r>
          <rPr>
            <sz val="9"/>
            <color indexed="81"/>
            <rFont val="Tahoma"/>
            <family val="2"/>
          </rPr>
          <t>¿Cuáles son las tendencias del mercado a favor?
¿Qué cambios tecnológicos pueden presentar una oportunidad?
¿Qué deberíamos hacer que no hemos hecho y ellos sí?
¿Qué eventos nos permitirán expandir la marca?
¿Cómo se están comportando las personas frente a este tema?
¿Existe alguna fortaleza que podamos explotar?</t>
        </r>
      </text>
    </comment>
    <comment ref="I13" authorId="0" shapeId="0" xr:uid="{9620CD82-9B09-4178-B098-316ED661355F}">
      <text>
        <r>
          <rPr>
            <sz val="9"/>
            <color indexed="81"/>
            <rFont val="Tahoma"/>
            <family val="2"/>
          </rPr>
          <t xml:space="preserve">
¿Cómo está cambiando el panorama del mercado?
¿Qué está haciendo la competencia?
¿Alguna debilidad puede ser una amenaza para la empresa?
¿Están cambiando los estándares de calidad de nuestro producto?
¿Qué obstáculos estamos enfrentando?
¿Cómo nos están afectando las medidas del gobierno?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JULIO</author>
  </authors>
  <commentList>
    <comment ref="E15" authorId="0" shapeId="0" xr:uid="{E36BD4F6-F5E6-44E9-854E-413D2B101833}">
      <text>
        <r>
          <rPr>
            <sz val="11"/>
            <color theme="1"/>
            <rFont val="Calibri"/>
            <family val="2"/>
            <scheme val="minor"/>
          </rPr>
          <t/>
        </r>
      </text>
    </comment>
    <comment ref="I15" authorId="0" shapeId="0" xr:uid="{C19A2FC5-3486-402E-8EC3-F2CFD3621F13}">
      <text>
        <r>
          <rPr>
            <b/>
            <sz val="14"/>
            <color indexed="81"/>
            <rFont val="Tahoma"/>
            <family val="2"/>
          </rPr>
          <t>JULIO:</t>
        </r>
        <r>
          <rPr>
            <sz val="14"/>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JULIO</author>
  </authors>
  <commentList>
    <comment ref="B27" authorId="0" shapeId="0" xr:uid="{E0EA99F4-FACD-46D6-9088-0158BBB7286F}">
      <text>
        <r>
          <rPr>
            <b/>
            <sz val="9"/>
            <color indexed="81"/>
            <rFont val="Tahoma"/>
            <family val="2"/>
          </rPr>
          <t>JULIO:</t>
        </r>
        <r>
          <rPr>
            <sz val="9"/>
            <color indexed="81"/>
            <rFont val="Tahoma"/>
            <family val="2"/>
          </rPr>
          <t xml:space="preserve">
El índice de situación representa el % de favorabilidad, es decir en que nivel nuestras fortalezas y oportunidades superan a nuestras debilidades y amenazas. Este índice sirve para evaluar nuestra situación actual y enfocar el cumplimiento de los planes de acción para incrementar dicho índice.</t>
        </r>
      </text>
    </comment>
  </commentList>
</comments>
</file>

<file path=xl/sharedStrings.xml><?xml version="1.0" encoding="utf-8"?>
<sst xmlns="http://schemas.openxmlformats.org/spreadsheetml/2006/main" count="350" uniqueCount="174">
  <si>
    <t>CONTENIDO - PLANTILLA FODA</t>
  </si>
  <si>
    <t>q</t>
  </si>
  <si>
    <t>N°</t>
  </si>
  <si>
    <t>DESCRIPCIÓN</t>
  </si>
  <si>
    <t>VISIÓN, MISIÓN, VALORES CORPORATIVOS</t>
  </si>
  <si>
    <t>DASHBOARD</t>
  </si>
  <si>
    <t>MATRIZ FODA</t>
  </si>
  <si>
    <t>EVALUACIÓN DE FACTORES INTERNOS Y EXTERNOS</t>
  </si>
  <si>
    <t>MATRIZ CRUZADA DE FACTORES (FODA CRUZADO)</t>
  </si>
  <si>
    <t>PLANES DE ACCIÓN</t>
  </si>
  <si>
    <t>ARCDATA</t>
  </si>
  <si>
    <t xml:space="preserve">Código: </t>
  </si>
  <si>
    <r>
      <t>Versión:</t>
    </r>
    <r>
      <rPr>
        <i/>
        <sz val="12"/>
        <color theme="0" tint="-0.499984740745262"/>
        <rFont val="Calibri"/>
        <family val="2"/>
        <scheme val="minor"/>
      </rPr>
      <t xml:space="preserve"> </t>
    </r>
  </si>
  <si>
    <t xml:space="preserve">Página: </t>
  </si>
  <si>
    <t xml:space="preserve">Fecha </t>
  </si>
  <si>
    <t>VISION</t>
  </si>
  <si>
    <t>Transformar la atencion medica Con nuestro aplicativo web, diseñado para la fundacion arcangeles esta agilizara la gestion de pacientes y facilitar el acceso a la informacion, con una interface intuitiva y herramientas personalisables. Estamos seguros que mejorara la calidad de los servicio de la fundacion</t>
  </si>
  <si>
    <t>MISIÓN</t>
  </si>
  <si>
    <t>Reconocer y mejorar la calidad de vida a las personas con  discapacidad fisica  a traves de la rehabilitacion  para promover le inclusion en la economia social y laboral</t>
  </si>
  <si>
    <t>VALORES CORPORATIVOS</t>
  </si>
  <si>
    <t xml:space="preserve">     Compromiso, Transparencia, Sostenibilidad, Creatividad, Pasión</t>
  </si>
  <si>
    <t>ANÁLISIS FODA</t>
  </si>
  <si>
    <t>ANÁLISIS INTERNO</t>
  </si>
  <si>
    <t>F</t>
  </si>
  <si>
    <t>FORTALEZAS</t>
  </si>
  <si>
    <t>D</t>
  </si>
  <si>
    <t>DEBILIDADES</t>
  </si>
  <si>
    <t>F1</t>
  </si>
  <si>
    <t>Desarrollo intuitivo con nuevas inteligencias disrruptivas</t>
  </si>
  <si>
    <t>D1</t>
  </si>
  <si>
    <t xml:space="preserve">Falta de personal </t>
  </si>
  <si>
    <t>F2</t>
  </si>
  <si>
    <t>soluciones innovadoras</t>
  </si>
  <si>
    <t>D2</t>
  </si>
  <si>
    <t xml:space="preserve">musculo financiero </t>
  </si>
  <si>
    <t>F3</t>
  </si>
  <si>
    <t>mejorar el servicio de atencion a personas discapacitadas</t>
  </si>
  <si>
    <t>D3</t>
  </si>
  <si>
    <t>posisionamiento en el mercado</t>
  </si>
  <si>
    <t>F4</t>
  </si>
  <si>
    <t>manejamos precios competitivos con calidad y servicio</t>
  </si>
  <si>
    <t>D4</t>
  </si>
  <si>
    <t>tiempo de trabajo del stayholder</t>
  </si>
  <si>
    <t>F5</t>
  </si>
  <si>
    <t xml:space="preserve">manejo de informacion en una sola plataforma </t>
  </si>
  <si>
    <t>D5</t>
  </si>
  <si>
    <t>manejo de herramientas  interactivas</t>
  </si>
  <si>
    <t>ANÁLISIS EXTERNO</t>
  </si>
  <si>
    <t>O</t>
  </si>
  <si>
    <t>OPORTUNIDADES</t>
  </si>
  <si>
    <t>A</t>
  </si>
  <si>
    <t>AMENAZAS</t>
  </si>
  <si>
    <t>O1</t>
  </si>
  <si>
    <t>mercado en que se va a generar el proyecto</t>
  </si>
  <si>
    <t>A1</t>
  </si>
  <si>
    <t>tendencia al incremento de app</t>
  </si>
  <si>
    <t>O2</t>
  </si>
  <si>
    <t xml:space="preserve">generar tendencia en el producto desarrolado </t>
  </si>
  <si>
    <t>A2</t>
  </si>
  <si>
    <t>disponibilidad de internet</t>
  </si>
  <si>
    <t>O3</t>
  </si>
  <si>
    <t>escalabilidad aplicación web</t>
  </si>
  <si>
    <t>A3</t>
  </si>
  <si>
    <t>fallo en los servidor</t>
  </si>
  <si>
    <t>O4</t>
  </si>
  <si>
    <t>calidad en el servicio atraves de las pqrs</t>
  </si>
  <si>
    <t>A4</t>
  </si>
  <si>
    <t>cambio en el sistema de salud</t>
  </si>
  <si>
    <t>O5</t>
  </si>
  <si>
    <t>Desarrollor evolutivos</t>
  </si>
  <si>
    <t>A5</t>
  </si>
  <si>
    <t>fallo en las actualizaciones de los sistemas operativos</t>
  </si>
  <si>
    <t xml:space="preserve">Elaborado por:
</t>
  </si>
  <si>
    <t xml:space="preserve">Revisado por: 
</t>
  </si>
  <si>
    <t xml:space="preserve">Aprobado por: 
</t>
  </si>
  <si>
    <t xml:space="preserve">Cesar Cifuentes
</t>
  </si>
  <si>
    <t>Jairo Salcedo</t>
  </si>
  <si>
    <t>Mateo Naranjo</t>
  </si>
  <si>
    <t xml:space="preserve">Cargo:
</t>
  </si>
  <si>
    <t>Bryan Cardozo</t>
  </si>
  <si>
    <t>David Quintero</t>
  </si>
  <si>
    <t>Firma:</t>
  </si>
  <si>
    <r>
      <t>Versión:</t>
    </r>
    <r>
      <rPr>
        <i/>
        <sz val="11"/>
        <color theme="0" tint="-0.499984740745262"/>
        <rFont val="Calibri"/>
        <family val="2"/>
        <scheme val="minor"/>
      </rPr>
      <t xml:space="preserve"> </t>
    </r>
  </si>
  <si>
    <t>Matriz de Evaluación de Factores internos</t>
  </si>
  <si>
    <t>Evaluación</t>
  </si>
  <si>
    <t>TIPO</t>
  </si>
  <si>
    <t>Descripción</t>
  </si>
  <si>
    <t>Importancia</t>
  </si>
  <si>
    <t>Impacto</t>
  </si>
  <si>
    <t>Tendencia</t>
  </si>
  <si>
    <t>Puntuación</t>
  </si>
  <si>
    <t>Valor</t>
  </si>
  <si>
    <t>Urgencia</t>
  </si>
  <si>
    <t>Intensidad</t>
  </si>
  <si>
    <t>Factores internos (EFI)</t>
  </si>
  <si>
    <t>Fortalezas</t>
  </si>
  <si>
    <t>Importante</t>
  </si>
  <si>
    <t>Promedio</t>
  </si>
  <si>
    <t>Se mantiene</t>
  </si>
  <si>
    <t>Sin importancia</t>
  </si>
  <si>
    <t>Muy debil</t>
  </si>
  <si>
    <t>Mala</t>
  </si>
  <si>
    <t>no urgente</t>
  </si>
  <si>
    <t>debil</t>
  </si>
  <si>
    <t>mantiene</t>
  </si>
  <si>
    <t>Nada urgente</t>
  </si>
  <si>
    <t>Muy importante</t>
  </si>
  <si>
    <t>Poco importante</t>
  </si>
  <si>
    <t>Deficiente</t>
  </si>
  <si>
    <t>algo urgente</t>
  </si>
  <si>
    <t>fuerte</t>
  </si>
  <si>
    <t>mejora</t>
  </si>
  <si>
    <t>urgente</t>
  </si>
  <si>
    <t>muy fuerte</t>
  </si>
  <si>
    <t>Mucha mejora</t>
  </si>
  <si>
    <t>Urgente prom.</t>
  </si>
  <si>
    <t>empeora</t>
  </si>
  <si>
    <t>muy urgente</t>
  </si>
  <si>
    <t>Urgente</t>
  </si>
  <si>
    <t>Total importante</t>
  </si>
  <si>
    <t>Debilidades</t>
  </si>
  <si>
    <t>Matriz de Evaluación de Factores externos</t>
  </si>
  <si>
    <t>RESUMEN</t>
  </si>
  <si>
    <t>PUNTAJE</t>
  </si>
  <si>
    <t>PORCENTAJE</t>
  </si>
  <si>
    <t>Factores externos (EFE)</t>
  </si>
  <si>
    <t>Oportunidades</t>
  </si>
  <si>
    <t>Amenazas</t>
  </si>
  <si>
    <t>TOTAL</t>
  </si>
  <si>
    <r>
      <t>Versión:</t>
    </r>
    <r>
      <rPr>
        <i/>
        <sz val="16"/>
        <color theme="0" tint="-0.499984740745262"/>
        <rFont val="Calibri"/>
        <family val="2"/>
        <scheme val="minor"/>
      </rPr>
      <t xml:space="preserve"> </t>
    </r>
  </si>
  <si>
    <t xml:space="preserve">FODA CRUZADO (ESTRATEGIAS) </t>
  </si>
  <si>
    <t xml:space="preserve">     
        FACTORES      
       EXTERNOS
FACTORES
 INTERNOS    
</t>
  </si>
  <si>
    <t>OPORTUNIDADES (O)</t>
  </si>
  <si>
    <t>AMENAZAS (A)</t>
  </si>
  <si>
    <t>FORTALEZAS (F)</t>
  </si>
  <si>
    <t>FO</t>
  </si>
  <si>
    <t>ESTRATEGIAS OFENSIVAS (F-O)
¿Cómo podemos usar una fortaleza para explotar 
una oportunidad?</t>
  </si>
  <si>
    <t>FA</t>
  </si>
  <si>
    <t>ESTRATEGIAS DEFENSIVAS (F-A)
¿Cómo podemos usar una fortaleza para minimizar o neutralizar una amenaza?</t>
  </si>
  <si>
    <t>DEBILIDADES (D)</t>
  </si>
  <si>
    <t>DO</t>
  </si>
  <si>
    <t>ESTRATEGIAS DE REORIENTACIÓN (D-O)
 ¿Cómo podemos corregir una debilidad para poder aprovechar una oportunidad?</t>
  </si>
  <si>
    <t>DA</t>
  </si>
  <si>
    <t>ESTRATEGIAS DE SUPERVIVENCIA (D-A)
¿Cómo vamos a trabajar una debilidad para minimizar 
el efecto de una amenaza?</t>
  </si>
  <si>
    <t xml:space="preserve">PLANES DE ACCIÓN </t>
  </si>
  <si>
    <t>Tipo de 
estrategia</t>
  </si>
  <si>
    <t>Descripción estrategia</t>
  </si>
  <si>
    <t>Planes de acción</t>
  </si>
  <si>
    <t>Responsable</t>
  </si>
  <si>
    <t>Fecha Inicio</t>
  </si>
  <si>
    <t>Fecha Fin</t>
  </si>
  <si>
    <t>Estado</t>
  </si>
  <si>
    <t>Visión general de los factores internos y externos</t>
  </si>
  <si>
    <t>%</t>
  </si>
  <si>
    <t>PUNTUACIÓN</t>
  </si>
  <si>
    <t>ESTADO</t>
  </si>
  <si>
    <t>Pendiente</t>
  </si>
  <si>
    <t>En proceso</t>
  </si>
  <si>
    <t>Culminado</t>
  </si>
  <si>
    <t>Índice de situación</t>
  </si>
  <si>
    <t>SITUACIÓN</t>
  </si>
  <si>
    <t>MÍNIMO</t>
  </si>
  <si>
    <t>MÁXIMO</t>
  </si>
  <si>
    <t>MUY DESFAVORABLE</t>
  </si>
  <si>
    <t>Tus puntos fuertes son mayores o iguales a tus debilidades, mantén ese buen resultado</t>
  </si>
  <si>
    <t>DESFAVORABLE</t>
  </si>
  <si>
    <t>Tus debilidades son menores o iguales a tus fortalezas, es buena señal, pero no te conformes</t>
  </si>
  <si>
    <t>EQUILIBRIO</t>
  </si>
  <si>
    <t>Tienes más oportunidades que amenazas y eso indica un fururo prometedor, todo lo que necesitas hacer es alinear que fuerzas optimizaran las posibilidades de que realmente ocurran</t>
  </si>
  <si>
    <t>FAVORABLE</t>
  </si>
  <si>
    <t>Sus amenazas son menores que sus oportunidades, pero aún así vale la pena analizar sus amenazas más relevantes y crear planes de acción para ellas</t>
  </si>
  <si>
    <t>MUY FAVORABLE</t>
  </si>
  <si>
    <t>IS=</t>
  </si>
  <si>
    <t xml:space="preserve"> ((Oportunidades + fuerzas)-(+debilidades +amenazas))/((+fuerzas + oportunidades)+(debildiades+amenazas))x2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</si>
</sst>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6">
    <font>
      <sz val="11"/>
      <color theme="1"/>
      <name val="Calibri"/>
      <family val="2"/>
      <scheme val="minor"/>
    </font>
    <font>
      <sz val="14"/>
      <name val="Arial"/>
      <family val="2"/>
    </font>
    <font>
      <sz val="8"/>
      <name val="Calibri"/>
      <family val="2"/>
    </font>
    <font>
      <sz val="11"/>
      <color theme="0"/>
      <name val="Calibri"/>
      <family val="2"/>
      <scheme val="minor"/>
    </font>
    <font>
      <u/>
      <sz val="12"/>
      <color theme="10"/>
      <name val="Verdana"/>
      <family val="2"/>
    </font>
    <font>
      <b/>
      <sz val="11"/>
      <color theme="1"/>
      <name val="Calibri"/>
      <family val="2"/>
      <scheme val="minor"/>
    </font>
    <font>
      <sz val="16"/>
      <color theme="1"/>
      <name val="Calibri"/>
      <family val="2"/>
      <scheme val="minor"/>
    </font>
    <font>
      <sz val="13"/>
      <color theme="1"/>
      <name val="Calibri"/>
      <family val="2"/>
      <scheme val="minor"/>
    </font>
    <font>
      <b/>
      <sz val="20"/>
      <color theme="1"/>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sz val="14"/>
      <color theme="0"/>
      <name val="Calibri"/>
      <family val="2"/>
      <scheme val="minor"/>
    </font>
    <font>
      <b/>
      <sz val="12"/>
      <color theme="0"/>
      <name val="Calibri"/>
      <family val="2"/>
      <scheme val="minor"/>
    </font>
    <font>
      <b/>
      <sz val="18"/>
      <color theme="1"/>
      <name val="Calibri"/>
      <family val="2"/>
      <scheme val="minor"/>
    </font>
    <font>
      <sz val="11"/>
      <color theme="1"/>
      <name val="Calibri"/>
      <family val="2"/>
      <scheme val="minor"/>
    </font>
    <font>
      <sz val="14"/>
      <color indexed="81"/>
      <name val="Tahoma"/>
      <family val="2"/>
    </font>
    <font>
      <sz val="9"/>
      <color indexed="81"/>
      <name val="Tahoma"/>
      <family val="2"/>
    </font>
    <font>
      <b/>
      <sz val="14"/>
      <color indexed="81"/>
      <name val="Tahoma"/>
      <family val="2"/>
    </font>
    <font>
      <i/>
      <sz val="16"/>
      <color theme="1"/>
      <name val="Calibri"/>
      <family val="2"/>
      <scheme val="minor"/>
    </font>
    <font>
      <b/>
      <i/>
      <sz val="11"/>
      <color theme="0" tint="-0.499984740745262"/>
      <name val="Calibri"/>
      <family val="2"/>
      <scheme val="minor"/>
    </font>
    <font>
      <i/>
      <sz val="11"/>
      <color theme="0" tint="-0.499984740745262"/>
      <name val="Calibri"/>
      <family val="2"/>
      <scheme val="minor"/>
    </font>
    <font>
      <b/>
      <i/>
      <sz val="12"/>
      <color theme="0" tint="-0.499984740745262"/>
      <name val="Calibri"/>
      <family val="2"/>
      <scheme val="minor"/>
    </font>
    <font>
      <i/>
      <sz val="12"/>
      <color theme="0" tint="-0.499984740745262"/>
      <name val="Calibri"/>
      <family val="2"/>
      <scheme val="minor"/>
    </font>
    <font>
      <b/>
      <i/>
      <sz val="14"/>
      <color theme="0" tint="-0.499984740745262"/>
      <name val="Calibri"/>
      <family val="2"/>
      <scheme val="minor"/>
    </font>
    <font>
      <b/>
      <sz val="14"/>
      <color theme="0" tint="-0.499984740745262"/>
      <name val="Calibri"/>
      <family val="2"/>
      <scheme val="minor"/>
    </font>
    <font>
      <b/>
      <i/>
      <sz val="18"/>
      <color theme="0" tint="-0.499984740745262"/>
      <name val="Calibri"/>
      <family val="2"/>
      <scheme val="minor"/>
    </font>
    <font>
      <b/>
      <i/>
      <sz val="16"/>
      <color theme="0" tint="-0.499984740745262"/>
      <name val="Calibri"/>
      <family val="2"/>
      <scheme val="minor"/>
    </font>
    <font>
      <i/>
      <sz val="16"/>
      <color theme="0" tint="-0.499984740745262"/>
      <name val="Calibri"/>
      <family val="2"/>
      <scheme val="minor"/>
    </font>
    <font>
      <b/>
      <sz val="11"/>
      <color theme="0"/>
      <name val="Calibri"/>
      <family val="2"/>
      <scheme val="minor"/>
    </font>
    <font>
      <b/>
      <sz val="24"/>
      <color theme="0"/>
      <name val="Calibri"/>
      <family val="2"/>
      <scheme val="minor"/>
    </font>
    <font>
      <b/>
      <sz val="14"/>
      <color theme="0"/>
      <name val="Calibri"/>
      <family val="2"/>
      <scheme val="minor"/>
    </font>
    <font>
      <b/>
      <sz val="9"/>
      <color indexed="81"/>
      <name val="Tahoma"/>
      <family val="2"/>
    </font>
    <font>
      <i/>
      <sz val="14"/>
      <color theme="1"/>
      <name val="Calibri"/>
      <family val="2"/>
      <scheme val="minor"/>
    </font>
    <font>
      <sz val="10"/>
      <color theme="1"/>
      <name val="Calibri"/>
      <family val="2"/>
      <scheme val="minor"/>
    </font>
  </fonts>
  <fills count="31">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
      <patternFill patternType="solid">
        <fgColor theme="5" tint="-0.249977111117893"/>
        <bgColor indexed="64"/>
      </patternFill>
    </fill>
    <fill>
      <patternFill patternType="solid">
        <fgColor rgb="FF00B05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theme="8" tint="-0.249977111117893"/>
        <bgColor indexed="64"/>
      </patternFill>
    </fill>
    <fill>
      <patternFill patternType="solid">
        <fgColor theme="4" tint="0.39997558519241921"/>
        <bgColor indexed="64"/>
      </patternFill>
    </fill>
    <fill>
      <patternFill patternType="solid">
        <fgColor rgb="FFFFFF00"/>
        <bgColor indexed="64"/>
      </patternFill>
    </fill>
    <fill>
      <patternFill patternType="solid">
        <fgColor rgb="FFC00000"/>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6" tint="0.79998168889431442"/>
        <bgColor indexed="64"/>
      </patternFill>
    </fill>
    <fill>
      <patternFill patternType="solid">
        <fgColor rgb="FF7030A0"/>
        <bgColor indexed="64"/>
      </patternFill>
    </fill>
    <fill>
      <patternFill patternType="solid">
        <fgColor theme="7" tint="-0.249977111117893"/>
        <bgColor indexed="64"/>
      </patternFill>
    </fill>
    <fill>
      <patternFill patternType="solid">
        <fgColor theme="0" tint="-0.49998474074526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4" fillId="0" borderId="0" applyNumberFormat="0" applyFill="0" applyBorder="0" applyAlignment="0" applyProtection="0">
      <alignment vertical="top" wrapText="1"/>
    </xf>
    <xf numFmtId="9" fontId="16" fillId="0" borderId="0" applyFont="0" applyFill="0" applyBorder="0" applyAlignment="0" applyProtection="0"/>
  </cellStyleXfs>
  <cellXfs count="268">
    <xf numFmtId="0" fontId="0" fillId="0" borderId="0" xfId="0"/>
    <xf numFmtId="0" fontId="0" fillId="0" borderId="0" xfId="0" applyAlignment="1">
      <alignment horizontal="center"/>
    </xf>
    <xf numFmtId="0" fontId="6" fillId="0" borderId="0" xfId="0" applyFont="1"/>
    <xf numFmtId="0" fontId="1" fillId="0" borderId="0" xfId="0" applyFont="1" applyAlignment="1">
      <alignment horizontal="left"/>
    </xf>
    <xf numFmtId="0" fontId="0" fillId="0" borderId="1" xfId="0" applyBorder="1" applyAlignment="1">
      <alignment horizontal="center"/>
    </xf>
    <xf numFmtId="0" fontId="0" fillId="0" borderId="1" xfId="0" applyBorder="1"/>
    <xf numFmtId="0" fontId="7" fillId="2" borderId="1" xfId="0" applyFont="1" applyFill="1" applyBorder="1" applyAlignment="1">
      <alignment vertical="center"/>
    </xf>
    <xf numFmtId="0" fontId="3" fillId="3" borderId="1" xfId="0" applyFont="1" applyFill="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4" fillId="0" borderId="0" xfId="1" applyAlignment="1"/>
    <xf numFmtId="0" fontId="8" fillId="0" borderId="0" xfId="0" applyFont="1" applyAlignment="1">
      <alignment horizontal="center"/>
    </xf>
    <xf numFmtId="0" fontId="5" fillId="11" borderId="2" xfId="0" applyFont="1" applyFill="1" applyBorder="1" applyAlignment="1">
      <alignment horizontal="center" vertical="center"/>
    </xf>
    <xf numFmtId="0" fontId="5" fillId="11"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9" fillId="11" borderId="1" xfId="0" applyFont="1" applyFill="1" applyBorder="1" applyAlignment="1">
      <alignment horizontal="center" vertical="center"/>
    </xf>
    <xf numFmtId="0" fontId="4" fillId="0" borderId="0" xfId="1" applyAlignment="1">
      <alignment horizontal="center"/>
    </xf>
    <xf numFmtId="9" fontId="13" fillId="12" borderId="0" xfId="0" applyNumberFormat="1" applyFont="1" applyFill="1" applyAlignment="1">
      <alignment horizontal="center" vertical="center"/>
    </xf>
    <xf numFmtId="0" fontId="9" fillId="0" borderId="0" xfId="0" applyFont="1"/>
    <xf numFmtId="0" fontId="12" fillId="0" borderId="0" xfId="0" applyFont="1"/>
    <xf numFmtId="0" fontId="12" fillId="7" borderId="0" xfId="0" applyFont="1" applyFill="1" applyAlignment="1">
      <alignment vertical="center"/>
    </xf>
    <xf numFmtId="0" fontId="12" fillId="14" borderId="0" xfId="0" applyFont="1" applyFill="1" applyAlignment="1">
      <alignment vertical="center"/>
    </xf>
    <xf numFmtId="0" fontId="12" fillId="15" borderId="0" xfId="0" applyFont="1" applyFill="1" applyAlignment="1">
      <alignment vertical="center"/>
    </xf>
    <xf numFmtId="0" fontId="12" fillId="16" borderId="0" xfId="0" applyFont="1" applyFill="1" applyAlignment="1">
      <alignment vertical="center"/>
    </xf>
    <xf numFmtId="0" fontId="9" fillId="19" borderId="0" xfId="0" applyFont="1" applyFill="1"/>
    <xf numFmtId="0" fontId="0" fillId="19" borderId="0" xfId="0" applyFill="1"/>
    <xf numFmtId="0" fontId="14" fillId="20" borderId="1" xfId="0" applyFont="1" applyFill="1" applyBorder="1" applyAlignment="1">
      <alignment horizontal="center" vertical="center"/>
    </xf>
    <xf numFmtId="0" fontId="14" fillId="20" borderId="1" xfId="0" applyFont="1" applyFill="1" applyBorder="1" applyAlignment="1">
      <alignment horizontal="center" vertical="center" wrapText="1"/>
    </xf>
    <xf numFmtId="0" fontId="0" fillId="0" borderId="6" xfId="0" applyBorder="1"/>
    <xf numFmtId="0" fontId="0" fillId="0" borderId="8" xfId="0" applyBorder="1"/>
    <xf numFmtId="0" fontId="0" fillId="0" borderId="10" xfId="0" applyBorder="1"/>
    <xf numFmtId="0" fontId="12" fillId="7" borderId="1" xfId="0" applyFont="1" applyFill="1" applyBorder="1" applyAlignment="1">
      <alignment horizontal="center" vertical="center"/>
    </xf>
    <xf numFmtId="0" fontId="0" fillId="0" borderId="1" xfId="0" applyBorder="1" applyAlignment="1">
      <alignment horizontal="center" vertical="center"/>
    </xf>
    <xf numFmtId="0" fontId="11" fillId="0" borderId="0" xfId="0" applyFont="1" applyAlignment="1">
      <alignment horizontal="center" vertical="center"/>
    </xf>
    <xf numFmtId="0" fontId="5" fillId="0" borderId="0" xfId="0" applyFont="1" applyAlignment="1">
      <alignment vertical="center"/>
    </xf>
    <xf numFmtId="0" fontId="0" fillId="0" borderId="1" xfId="0" applyBorder="1" applyAlignment="1">
      <alignment horizontal="center" vertical="center" wrapText="1"/>
    </xf>
    <xf numFmtId="0" fontId="11" fillId="0" borderId="0" xfId="0" applyFont="1"/>
    <xf numFmtId="0" fontId="0" fillId="0" borderId="0" xfId="0" applyAlignment="1">
      <alignment horizontal="center" vertical="center"/>
    </xf>
    <xf numFmtId="0" fontId="0" fillId="11" borderId="8" xfId="0" applyFill="1" applyBorder="1" applyAlignment="1">
      <alignment horizontal="center" vertical="center" wrapText="1"/>
    </xf>
    <xf numFmtId="0" fontId="12" fillId="7" borderId="1" xfId="0" applyFont="1" applyFill="1" applyBorder="1" applyAlignment="1">
      <alignment vertical="center"/>
    </xf>
    <xf numFmtId="0" fontId="12" fillId="0" borderId="1" xfId="0" applyFont="1" applyBorder="1" applyAlignment="1">
      <alignment horizontal="center"/>
    </xf>
    <xf numFmtId="0" fontId="12" fillId="14" borderId="1" xfId="0" applyFont="1" applyFill="1" applyBorder="1" applyAlignment="1">
      <alignment vertical="center"/>
    </xf>
    <xf numFmtId="0" fontId="12" fillId="15" borderId="1" xfId="0" applyFont="1" applyFill="1" applyBorder="1" applyAlignment="1">
      <alignment vertical="center"/>
    </xf>
    <xf numFmtId="0" fontId="12" fillId="16" borderId="1" xfId="0" applyFont="1" applyFill="1" applyBorder="1" applyAlignment="1">
      <alignment vertical="center"/>
    </xf>
    <xf numFmtId="0" fontId="0" fillId="2" borderId="0" xfId="0" applyFill="1"/>
    <xf numFmtId="0" fontId="5" fillId="0" borderId="1" xfId="0" applyFont="1" applyBorder="1" applyAlignment="1">
      <alignment horizontal="center"/>
    </xf>
    <xf numFmtId="9" fontId="0" fillId="0" borderId="1" xfId="2" applyFont="1" applyBorder="1" applyAlignment="1">
      <alignment horizontal="center"/>
    </xf>
    <xf numFmtId="0" fontId="0" fillId="9"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5" fillId="0" borderId="1" xfId="0" applyFont="1" applyBorder="1" applyAlignment="1">
      <alignment horizontal="center" vertical="center"/>
    </xf>
    <xf numFmtId="0" fontId="5" fillId="4" borderId="1" xfId="0" applyFont="1" applyFill="1" applyBorder="1" applyAlignment="1">
      <alignment horizontal="center"/>
    </xf>
    <xf numFmtId="0" fontId="5" fillId="22" borderId="1" xfId="0" applyFont="1" applyFill="1" applyBorder="1" applyAlignment="1">
      <alignment horizontal="center"/>
    </xf>
    <xf numFmtId="0" fontId="5" fillId="23" borderId="1" xfId="0" applyFont="1" applyFill="1" applyBorder="1" applyAlignment="1">
      <alignment horizontal="center"/>
    </xf>
    <xf numFmtId="0" fontId="5" fillId="24" borderId="1" xfId="0" applyFont="1" applyFill="1" applyBorder="1" applyAlignment="1">
      <alignment horizontal="center"/>
    </xf>
    <xf numFmtId="0" fontId="5" fillId="25" borderId="1" xfId="0" applyFont="1" applyFill="1" applyBorder="1" applyAlignment="1">
      <alignment horizontal="center"/>
    </xf>
    <xf numFmtId="9" fontId="5" fillId="0" borderId="1" xfId="0" applyNumberFormat="1" applyFont="1" applyBorder="1" applyAlignment="1">
      <alignment horizontal="center" vertical="center"/>
    </xf>
    <xf numFmtId="0" fontId="5" fillId="22" borderId="15" xfId="0" applyFont="1" applyFill="1" applyBorder="1"/>
    <xf numFmtId="0" fontId="5" fillId="22" borderId="16" xfId="0" applyFont="1" applyFill="1" applyBorder="1"/>
    <xf numFmtId="0" fontId="5" fillId="19" borderId="14" xfId="0" applyFont="1" applyFill="1" applyBorder="1" applyAlignment="1">
      <alignment horizontal="center"/>
    </xf>
    <xf numFmtId="9" fontId="12" fillId="13" borderId="1" xfId="0" applyNumberFormat="1" applyFont="1" applyFill="1" applyBorder="1" applyAlignment="1">
      <alignment horizontal="center" vertical="center"/>
    </xf>
    <xf numFmtId="9" fontId="12" fillId="17" borderId="1" xfId="0" applyNumberFormat="1" applyFont="1" applyFill="1" applyBorder="1" applyAlignment="1">
      <alignment horizontal="center" vertical="center"/>
    </xf>
    <xf numFmtId="9" fontId="12" fillId="18" borderId="1" xfId="0" applyNumberFormat="1" applyFont="1" applyFill="1" applyBorder="1" applyAlignment="1">
      <alignment horizontal="center" vertical="center"/>
    </xf>
    <xf numFmtId="9" fontId="12" fillId="19" borderId="1" xfId="0" applyNumberFormat="1" applyFont="1" applyFill="1" applyBorder="1" applyAlignment="1">
      <alignment horizontal="center" vertical="center"/>
    </xf>
    <xf numFmtId="0" fontId="5" fillId="0" borderId="1" xfId="0" applyFont="1" applyBorder="1" applyAlignment="1">
      <alignment horizontal="left"/>
    </xf>
    <xf numFmtId="0" fontId="0" fillId="9" borderId="1" xfId="0" applyFill="1" applyBorder="1" applyAlignment="1">
      <alignment horizontal="center" vertical="center"/>
    </xf>
    <xf numFmtId="0" fontId="0" fillId="15" borderId="1" xfId="0" applyFill="1" applyBorder="1" applyAlignment="1">
      <alignment horizontal="center" vertical="center"/>
    </xf>
    <xf numFmtId="0" fontId="0" fillId="16" borderId="1" xfId="0" applyFill="1" applyBorder="1" applyAlignment="1">
      <alignment horizontal="center" vertical="center"/>
    </xf>
    <xf numFmtId="0" fontId="0" fillId="0" borderId="1" xfId="0" applyBorder="1" applyAlignment="1">
      <alignment horizontal="left" vertical="center" wrapText="1"/>
    </xf>
    <xf numFmtId="0" fontId="9" fillId="11" borderId="1" xfId="0" applyFont="1" applyFill="1" applyBorder="1" applyAlignment="1">
      <alignment horizontal="center" vertical="center" wrapText="1"/>
    </xf>
    <xf numFmtId="0" fontId="0" fillId="11" borderId="1" xfId="0" applyFill="1" applyBorder="1"/>
    <xf numFmtId="0" fontId="0" fillId="11" borderId="1" xfId="0" applyFill="1" applyBorder="1" applyAlignment="1">
      <alignment horizontal="center" vertical="center" wrapText="1"/>
    </xf>
    <xf numFmtId="0" fontId="0" fillId="11" borderId="1" xfId="0" applyFill="1" applyBorder="1" applyAlignment="1">
      <alignment horizontal="left" vertical="center" wrapText="1"/>
    </xf>
    <xf numFmtId="0" fontId="0" fillId="11" borderId="1" xfId="0" applyFill="1" applyBorder="1" applyAlignment="1">
      <alignment horizontal="center"/>
    </xf>
    <xf numFmtId="0" fontId="0" fillId="11" borderId="1" xfId="0" applyFill="1" applyBorder="1" applyAlignment="1">
      <alignment horizontal="left"/>
    </xf>
    <xf numFmtId="0" fontId="0" fillId="13" borderId="1" xfId="0" applyFill="1" applyBorder="1" applyAlignment="1">
      <alignment horizontal="center" vertical="center" wrapText="1"/>
    </xf>
    <xf numFmtId="0" fontId="23" fillId="0" borderId="1" xfId="0" applyFont="1" applyBorder="1" applyAlignment="1">
      <alignment vertical="center"/>
    </xf>
    <xf numFmtId="14" fontId="0" fillId="13" borderId="1" xfId="0" applyNumberFormat="1" applyFill="1" applyBorder="1" applyAlignment="1">
      <alignment horizontal="center" vertical="center"/>
    </xf>
    <xf numFmtId="0" fontId="0" fillId="13" borderId="1" xfId="0" applyFill="1" applyBorder="1" applyAlignment="1">
      <alignment vertical="center"/>
    </xf>
    <xf numFmtId="0" fontId="0" fillId="13" borderId="1" xfId="0" applyFill="1" applyBorder="1" applyAlignment="1">
      <alignment horizontal="center" wrapText="1"/>
    </xf>
    <xf numFmtId="0" fontId="10" fillId="11" borderId="1" xfId="0" applyFont="1" applyFill="1" applyBorder="1" applyAlignment="1">
      <alignment horizontal="center" vertical="center"/>
    </xf>
    <xf numFmtId="0" fontId="10" fillId="11" borderId="1" xfId="0" applyFont="1" applyFill="1" applyBorder="1" applyAlignment="1">
      <alignment horizontal="center" vertical="center" wrapText="1"/>
    </xf>
    <xf numFmtId="0" fontId="10" fillId="11" borderId="1" xfId="0" applyFont="1" applyFill="1" applyBorder="1" applyAlignment="1">
      <alignment vertical="center" wrapText="1"/>
    </xf>
    <xf numFmtId="0" fontId="10" fillId="11"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0" fontId="0" fillId="13" borderId="1" xfId="0" applyFill="1" applyBorder="1" applyAlignment="1">
      <alignment horizontal="center"/>
    </xf>
    <xf numFmtId="0" fontId="9" fillId="13"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0" fillId="13" borderId="1" xfId="0" applyFill="1" applyBorder="1" applyAlignment="1">
      <alignment horizontal="center" vertical="center"/>
    </xf>
    <xf numFmtId="0" fontId="10" fillId="13" borderId="1" xfId="0" applyFont="1" applyFill="1" applyBorder="1" applyAlignment="1">
      <alignment vertical="center" wrapText="1"/>
    </xf>
    <xf numFmtId="0" fontId="23" fillId="11" borderId="1" xfId="0" applyFont="1" applyFill="1" applyBorder="1" applyAlignment="1">
      <alignment vertical="center"/>
    </xf>
    <xf numFmtId="0" fontId="21" fillId="11" borderId="1" xfId="0" applyFont="1" applyFill="1" applyBorder="1" applyAlignment="1">
      <alignment horizontal="center" vertical="center"/>
    </xf>
    <xf numFmtId="0" fontId="28" fillId="0" borderId="1" xfId="0" applyFont="1" applyBorder="1" applyAlignment="1">
      <alignment vertical="center"/>
    </xf>
    <xf numFmtId="0" fontId="23" fillId="11" borderId="3" xfId="0" applyFont="1" applyFill="1" applyBorder="1" applyAlignment="1">
      <alignment vertical="center"/>
    </xf>
    <xf numFmtId="0" fontId="23" fillId="11" borderId="5" xfId="0" applyFont="1" applyFill="1" applyBorder="1" applyAlignment="1">
      <alignment vertical="center"/>
    </xf>
    <xf numFmtId="0" fontId="0" fillId="27" borderId="8" xfId="0" applyFill="1" applyBorder="1"/>
    <xf numFmtId="0" fontId="0" fillId="27" borderId="0" xfId="0" applyFill="1" applyAlignment="1">
      <alignment horizontal="center"/>
    </xf>
    <xf numFmtId="0" fontId="0" fillId="27" borderId="0" xfId="0" applyFill="1"/>
    <xf numFmtId="0" fontId="0" fillId="27" borderId="9" xfId="0" applyFill="1" applyBorder="1"/>
    <xf numFmtId="0" fontId="5" fillId="27" borderId="9" xfId="0" applyFont="1" applyFill="1" applyBorder="1" applyAlignment="1">
      <alignment horizontal="center" vertical="center"/>
    </xf>
    <xf numFmtId="0" fontId="5" fillId="27" borderId="0" xfId="0" applyFont="1" applyFill="1" applyAlignment="1">
      <alignment horizontal="center" vertical="center"/>
    </xf>
    <xf numFmtId="0" fontId="5" fillId="27" borderId="0" xfId="0" applyFont="1" applyFill="1" applyAlignment="1">
      <alignment vertical="center"/>
    </xf>
    <xf numFmtId="0" fontId="5" fillId="27" borderId="8" xfId="0" applyFont="1" applyFill="1" applyBorder="1" applyAlignment="1">
      <alignment vertical="center"/>
    </xf>
    <xf numFmtId="0" fontId="30" fillId="23" borderId="1" xfId="0" applyFont="1" applyFill="1" applyBorder="1" applyAlignment="1">
      <alignment horizontal="center" vertical="center"/>
    </xf>
    <xf numFmtId="0" fontId="9" fillId="27" borderId="0" xfId="0" applyFont="1" applyFill="1" applyAlignment="1">
      <alignment horizontal="center" vertical="center"/>
    </xf>
    <xf numFmtId="0" fontId="0" fillId="27" borderId="10" xfId="0" applyFill="1" applyBorder="1"/>
    <xf numFmtId="0" fontId="5" fillId="27" borderId="11" xfId="0" applyFont="1" applyFill="1" applyBorder="1" applyAlignment="1">
      <alignment horizontal="center"/>
    </xf>
    <xf numFmtId="0" fontId="5" fillId="27" borderId="11" xfId="0" applyFont="1" applyFill="1" applyBorder="1"/>
    <xf numFmtId="0" fontId="0" fillId="27" borderId="12" xfId="0" applyFill="1" applyBorder="1"/>
    <xf numFmtId="0" fontId="23" fillId="11" borderId="3" xfId="0" applyFont="1" applyFill="1" applyBorder="1" applyAlignment="1">
      <alignment horizontal="center" vertical="center"/>
    </xf>
    <xf numFmtId="0" fontId="23" fillId="11" borderId="5" xfId="0" applyFont="1" applyFill="1" applyBorder="1" applyAlignment="1">
      <alignment horizontal="center" vertical="center"/>
    </xf>
    <xf numFmtId="0" fontId="3" fillId="0" borderId="0" xfId="0" applyFont="1"/>
    <xf numFmtId="0" fontId="23" fillId="0" borderId="3" xfId="0" applyFont="1" applyBorder="1" applyAlignment="1">
      <alignment horizontal="center" vertical="top" wrapText="1"/>
    </xf>
    <xf numFmtId="0" fontId="23" fillId="0" borderId="4" xfId="0" applyFont="1" applyBorder="1" applyAlignment="1">
      <alignment horizontal="center" vertical="top" wrapText="1"/>
    </xf>
    <xf numFmtId="0" fontId="23" fillId="0" borderId="5" xfId="0" applyFont="1" applyBorder="1" applyAlignment="1">
      <alignment horizontal="center" vertical="top" wrapText="1"/>
    </xf>
    <xf numFmtId="0" fontId="23" fillId="0" borderId="1" xfId="0" applyFont="1" applyBorder="1" applyAlignment="1">
      <alignment horizontal="center" vertical="top" wrapText="1"/>
    </xf>
    <xf numFmtId="0" fontId="35" fillId="11" borderId="1" xfId="0" applyFont="1" applyFill="1" applyBorder="1" applyAlignment="1">
      <alignment horizontal="left" vertical="center" wrapText="1"/>
    </xf>
    <xf numFmtId="0" fontId="32" fillId="6" borderId="3" xfId="0" applyFont="1" applyFill="1" applyBorder="1" applyAlignment="1">
      <alignment horizontal="center" vertical="center"/>
    </xf>
    <xf numFmtId="0" fontId="32" fillId="6" borderId="4" xfId="0" applyFont="1" applyFill="1" applyBorder="1" applyAlignment="1">
      <alignment horizontal="center" vertical="center"/>
    </xf>
    <xf numFmtId="0" fontId="32" fillId="6" borderId="5" xfId="0" applyFont="1" applyFill="1" applyBorder="1" applyAlignment="1">
      <alignment horizontal="center" vertical="center"/>
    </xf>
    <xf numFmtId="0" fontId="32" fillId="30" borderId="3" xfId="0" applyFont="1" applyFill="1" applyBorder="1" applyAlignment="1">
      <alignment horizontal="center" vertical="center"/>
    </xf>
    <xf numFmtId="0" fontId="32" fillId="30" borderId="4" xfId="0" applyFont="1" applyFill="1" applyBorder="1" applyAlignment="1">
      <alignment horizontal="center" vertical="center"/>
    </xf>
    <xf numFmtId="0" fontId="32" fillId="30" borderId="5" xfId="0" applyFont="1" applyFill="1" applyBorder="1" applyAlignment="1">
      <alignment horizontal="center" vertical="center"/>
    </xf>
    <xf numFmtId="0" fontId="32" fillId="20" borderId="3" xfId="0" applyFont="1" applyFill="1" applyBorder="1" applyAlignment="1">
      <alignment horizontal="center" vertical="center"/>
    </xf>
    <xf numFmtId="0" fontId="32" fillId="20" borderId="4" xfId="0" applyFont="1" applyFill="1" applyBorder="1" applyAlignment="1">
      <alignment horizontal="center" vertical="center"/>
    </xf>
    <xf numFmtId="0" fontId="32" fillId="20" borderId="5" xfId="0" applyFont="1" applyFill="1" applyBorder="1" applyAlignment="1">
      <alignment horizontal="center" vertical="center"/>
    </xf>
    <xf numFmtId="0" fontId="31" fillId="26" borderId="6" xfId="0" applyFont="1" applyFill="1" applyBorder="1" applyAlignment="1">
      <alignment horizontal="center" vertical="center"/>
    </xf>
    <xf numFmtId="0" fontId="31" fillId="26" borderId="2" xfId="0" applyFont="1" applyFill="1" applyBorder="1" applyAlignment="1">
      <alignment horizontal="center" vertical="center"/>
    </xf>
    <xf numFmtId="0" fontId="31" fillId="26" borderId="7" xfId="0" applyFont="1" applyFill="1" applyBorder="1" applyAlignment="1">
      <alignment horizontal="center" vertical="center"/>
    </xf>
    <xf numFmtId="0" fontId="32" fillId="3" borderId="0" xfId="0" applyFont="1" applyFill="1" applyAlignment="1">
      <alignment horizontal="center" vertical="center"/>
    </xf>
    <xf numFmtId="0" fontId="32" fillId="3" borderId="3" xfId="0" applyFont="1" applyFill="1" applyBorder="1" applyAlignment="1">
      <alignment horizontal="center" vertical="center"/>
    </xf>
    <xf numFmtId="0" fontId="32" fillId="3" borderId="4" xfId="0" applyFont="1" applyFill="1" applyBorder="1" applyAlignment="1">
      <alignment horizontal="center" vertical="center"/>
    </xf>
    <xf numFmtId="0" fontId="32" fillId="3" borderId="5" xfId="0" applyFont="1" applyFill="1" applyBorder="1" applyAlignment="1">
      <alignment horizontal="center" vertical="center"/>
    </xf>
    <xf numFmtId="0" fontId="32" fillId="5" borderId="3" xfId="0" applyFont="1" applyFill="1" applyBorder="1" applyAlignment="1">
      <alignment horizontal="center" vertical="center"/>
    </xf>
    <xf numFmtId="0" fontId="32" fillId="5" borderId="4" xfId="0" applyFont="1" applyFill="1" applyBorder="1" applyAlignment="1">
      <alignment horizontal="center" vertical="center"/>
    </xf>
    <xf numFmtId="0" fontId="32" fillId="5" borderId="5" xfId="0" applyFont="1" applyFill="1" applyBorder="1" applyAlignment="1">
      <alignment horizontal="center" vertical="center"/>
    </xf>
    <xf numFmtId="0" fontId="32" fillId="28" borderId="3" xfId="0" applyFont="1" applyFill="1" applyBorder="1" applyAlignment="1">
      <alignment horizontal="center" vertical="center"/>
    </xf>
    <xf numFmtId="0" fontId="32" fillId="28" borderId="4" xfId="0" applyFont="1" applyFill="1" applyBorder="1" applyAlignment="1">
      <alignment horizontal="center" vertical="center"/>
    </xf>
    <xf numFmtId="0" fontId="32" fillId="28" borderId="5" xfId="0" applyFont="1" applyFill="1" applyBorder="1" applyAlignment="1">
      <alignment horizontal="center" vertical="center"/>
    </xf>
    <xf numFmtId="0" fontId="32" fillId="29" borderId="3" xfId="0" applyFont="1" applyFill="1" applyBorder="1" applyAlignment="1">
      <alignment horizontal="center" vertical="center"/>
    </xf>
    <xf numFmtId="0" fontId="32" fillId="29" borderId="4" xfId="0" applyFont="1" applyFill="1" applyBorder="1" applyAlignment="1">
      <alignment horizontal="center" vertical="center"/>
    </xf>
    <xf numFmtId="0" fontId="32" fillId="29" borderId="5" xfId="0" applyFont="1" applyFill="1" applyBorder="1" applyAlignment="1">
      <alignment horizontal="center" vertical="center"/>
    </xf>
    <xf numFmtId="0" fontId="20" fillId="13" borderId="6" xfId="0" applyFont="1" applyFill="1" applyBorder="1" applyAlignment="1">
      <alignment horizontal="left" vertical="top" wrapText="1"/>
    </xf>
    <xf numFmtId="0" fontId="20" fillId="13" borderId="2" xfId="0" applyFont="1" applyFill="1" applyBorder="1" applyAlignment="1">
      <alignment horizontal="left" vertical="top" wrapText="1"/>
    </xf>
    <xf numFmtId="0" fontId="20" fillId="13" borderId="7" xfId="0" applyFont="1" applyFill="1" applyBorder="1" applyAlignment="1">
      <alignment horizontal="left" vertical="top" wrapText="1"/>
    </xf>
    <xf numFmtId="0" fontId="20" fillId="13" borderId="8" xfId="0" applyFont="1" applyFill="1" applyBorder="1" applyAlignment="1">
      <alignment horizontal="left" vertical="top" wrapText="1"/>
    </xf>
    <xf numFmtId="0" fontId="20" fillId="13" borderId="0" xfId="0" applyFont="1" applyFill="1" applyAlignment="1">
      <alignment horizontal="left" vertical="top" wrapText="1"/>
    </xf>
    <xf numFmtId="0" fontId="20" fillId="13" borderId="9" xfId="0" applyFont="1" applyFill="1" applyBorder="1" applyAlignment="1">
      <alignment horizontal="left" vertical="top" wrapText="1"/>
    </xf>
    <xf numFmtId="0" fontId="20" fillId="13" borderId="10" xfId="0" applyFont="1" applyFill="1" applyBorder="1" applyAlignment="1">
      <alignment horizontal="left" vertical="top" wrapText="1"/>
    </xf>
    <xf numFmtId="0" fontId="20" fillId="13" borderId="11" xfId="0" applyFont="1" applyFill="1" applyBorder="1" applyAlignment="1">
      <alignment horizontal="left" vertical="top" wrapText="1"/>
    </xf>
    <xf numFmtId="0" fontId="20" fillId="13" borderId="12" xfId="0" applyFont="1" applyFill="1" applyBorder="1" applyAlignment="1">
      <alignment horizontal="left" vertical="top" wrapText="1"/>
    </xf>
    <xf numFmtId="0" fontId="9" fillId="0" borderId="0" xfId="0" applyFont="1" applyAlignment="1">
      <alignment horizontal="left" vertical="center"/>
    </xf>
    <xf numFmtId="0" fontId="34" fillId="13" borderId="6"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20" fillId="13" borderId="7" xfId="0" applyFont="1" applyFill="1" applyBorder="1" applyAlignment="1">
      <alignment horizontal="center" vertical="center" wrapText="1"/>
    </xf>
    <xf numFmtId="0" fontId="20" fillId="13" borderId="8" xfId="0" applyFont="1" applyFill="1" applyBorder="1" applyAlignment="1">
      <alignment horizontal="center" vertical="center" wrapText="1"/>
    </xf>
    <xf numFmtId="0" fontId="20" fillId="13" borderId="0" xfId="0" applyFont="1" applyFill="1" applyAlignment="1">
      <alignment horizontal="center" vertical="center" wrapText="1"/>
    </xf>
    <xf numFmtId="0" fontId="20" fillId="13" borderId="9" xfId="0" applyFont="1" applyFill="1" applyBorder="1" applyAlignment="1">
      <alignment horizontal="center" vertical="center" wrapText="1"/>
    </xf>
    <xf numFmtId="0" fontId="20" fillId="13" borderId="10" xfId="0" applyFont="1" applyFill="1" applyBorder="1" applyAlignment="1">
      <alignment horizontal="center" vertical="center" wrapText="1"/>
    </xf>
    <xf numFmtId="0" fontId="20" fillId="13" borderId="11" xfId="0" applyFont="1" applyFill="1" applyBorder="1" applyAlignment="1">
      <alignment horizontal="center" vertical="center" wrapText="1"/>
    </xf>
    <xf numFmtId="0" fontId="20" fillId="13" borderId="1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9" fillId="0" borderId="11" xfId="0" applyFont="1" applyBorder="1" applyAlignment="1">
      <alignment horizontal="left" vertical="center"/>
    </xf>
    <xf numFmtId="0" fontId="21" fillId="13" borderId="3" xfId="0" applyFont="1" applyFill="1" applyBorder="1" applyAlignment="1">
      <alignment horizontal="center" vertical="center"/>
    </xf>
    <xf numFmtId="0" fontId="21" fillId="13" borderId="5" xfId="0" applyFont="1" applyFill="1" applyBorder="1" applyAlignment="1">
      <alignment horizontal="center" vertical="center"/>
    </xf>
    <xf numFmtId="14" fontId="21" fillId="13" borderId="3" xfId="0" applyNumberFormat="1" applyFont="1" applyFill="1" applyBorder="1" applyAlignment="1">
      <alignment horizontal="center" vertical="center"/>
    </xf>
    <xf numFmtId="14" fontId="21" fillId="13" borderId="5" xfId="0" applyNumberFormat="1" applyFont="1" applyFill="1" applyBorder="1" applyAlignment="1">
      <alignment horizontal="center" vertical="center"/>
    </xf>
    <xf numFmtId="0" fontId="9" fillId="13" borderId="6" xfId="0" applyFont="1" applyFill="1" applyBorder="1" applyAlignment="1">
      <alignment horizontal="center" vertical="center"/>
    </xf>
    <xf numFmtId="0" fontId="9" fillId="13" borderId="7" xfId="0" applyFont="1" applyFill="1" applyBorder="1" applyAlignment="1">
      <alignment horizontal="center" vertical="center"/>
    </xf>
    <xf numFmtId="0" fontId="9" fillId="13" borderId="8" xfId="0" applyFont="1" applyFill="1" applyBorder="1" applyAlignment="1">
      <alignment horizontal="center" vertical="center"/>
    </xf>
    <xf numFmtId="0" fontId="9" fillId="13" borderId="9" xfId="0" applyFont="1" applyFill="1" applyBorder="1" applyAlignment="1">
      <alignment horizontal="center" vertical="center"/>
    </xf>
    <xf numFmtId="0" fontId="9" fillId="13" borderId="10" xfId="0" applyFont="1" applyFill="1" applyBorder="1" applyAlignment="1">
      <alignment horizontal="center" vertical="center"/>
    </xf>
    <xf numFmtId="0" fontId="9" fillId="13" borderId="12" xfId="0" applyFont="1" applyFill="1" applyBorder="1" applyAlignment="1">
      <alignment horizontal="center" vertical="center"/>
    </xf>
    <xf numFmtId="0" fontId="23" fillId="0" borderId="1" xfId="0" applyFont="1" applyBorder="1" applyAlignment="1">
      <alignment horizontal="center" vertical="center"/>
    </xf>
    <xf numFmtId="0" fontId="25" fillId="13" borderId="1" xfId="0" applyFont="1" applyFill="1" applyBorder="1" applyAlignment="1">
      <alignment horizontal="center" vertical="center"/>
    </xf>
    <xf numFmtId="0" fontId="25" fillId="0" borderId="1" xfId="0" applyFont="1" applyBorder="1" applyAlignment="1">
      <alignment horizontal="center" vertical="center"/>
    </xf>
    <xf numFmtId="0" fontId="0" fillId="13" borderId="1" xfId="0" applyFill="1" applyBorder="1" applyAlignment="1">
      <alignment horizontal="left" vertical="center" wrapText="1"/>
    </xf>
    <xf numFmtId="0" fontId="11" fillId="11"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11" borderId="1" xfId="0" applyFont="1" applyFill="1" applyBorder="1" applyAlignment="1">
      <alignment horizontal="center" vertical="center" wrapText="1"/>
    </xf>
    <xf numFmtId="0" fontId="0" fillId="13" borderId="1" xfId="0" applyFill="1" applyBorder="1" applyAlignment="1">
      <alignment horizontal="left" vertical="center"/>
    </xf>
    <xf numFmtId="0" fontId="0" fillId="11" borderId="6" xfId="0" applyFill="1" applyBorder="1" applyAlignment="1">
      <alignment horizontal="center"/>
    </xf>
    <xf numFmtId="0" fontId="0" fillId="11" borderId="2" xfId="0"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25" fillId="11" borderId="1" xfId="0" applyFont="1" applyFill="1" applyBorder="1" applyAlignment="1">
      <alignment horizontal="center" vertical="center"/>
    </xf>
    <xf numFmtId="0" fontId="8" fillId="0" borderId="0" xfId="0" applyFont="1" applyAlignment="1">
      <alignment horizontal="center"/>
    </xf>
    <xf numFmtId="0" fontId="35" fillId="13" borderId="1" xfId="0" applyFont="1" applyFill="1" applyBorder="1" applyAlignment="1">
      <alignment horizontal="left" vertical="center" wrapText="1"/>
    </xf>
    <xf numFmtId="0" fontId="23" fillId="13" borderId="6" xfId="0" applyFont="1" applyFill="1" applyBorder="1" applyAlignment="1">
      <alignment horizontal="center" vertical="top" wrapText="1"/>
    </xf>
    <xf numFmtId="0" fontId="23" fillId="13" borderId="2" xfId="0" applyFont="1" applyFill="1" applyBorder="1" applyAlignment="1">
      <alignment horizontal="center" vertical="top"/>
    </xf>
    <xf numFmtId="0" fontId="23" fillId="13" borderId="7" xfId="0" applyFont="1" applyFill="1" applyBorder="1" applyAlignment="1">
      <alignment horizontal="center" vertical="top"/>
    </xf>
    <xf numFmtId="0" fontId="23" fillId="0" borderId="3" xfId="0" applyFont="1" applyBorder="1" applyAlignment="1">
      <alignment horizontal="center" vertical="top" wrapText="1"/>
    </xf>
    <xf numFmtId="0" fontId="23" fillId="0" borderId="4" xfId="0" applyFont="1" applyBorder="1" applyAlignment="1">
      <alignment horizontal="center" vertical="top" wrapText="1"/>
    </xf>
    <xf numFmtId="0" fontId="23" fillId="0" borderId="5" xfId="0" applyFont="1" applyBorder="1" applyAlignment="1">
      <alignment horizontal="center" vertical="top" wrapText="1"/>
    </xf>
    <xf numFmtId="0" fontId="23" fillId="13" borderId="6" xfId="0" applyFont="1" applyFill="1" applyBorder="1" applyAlignment="1">
      <alignment horizontal="center" vertical="top"/>
    </xf>
    <xf numFmtId="0" fontId="23" fillId="13" borderId="1" xfId="0" applyFont="1" applyFill="1" applyBorder="1" applyAlignment="1">
      <alignment horizontal="center" vertical="top"/>
    </xf>
    <xf numFmtId="0" fontId="23" fillId="0" borderId="1" xfId="0" applyFont="1" applyBorder="1" applyAlignment="1">
      <alignment horizontal="center" vertical="top" wrapText="1"/>
    </xf>
    <xf numFmtId="0" fontId="23" fillId="13" borderId="3" xfId="0" applyFont="1" applyFill="1" applyBorder="1" applyAlignment="1">
      <alignment horizontal="center" vertical="top"/>
    </xf>
    <xf numFmtId="0" fontId="23" fillId="13" borderId="4" xfId="0" applyFont="1" applyFill="1" applyBorder="1" applyAlignment="1">
      <alignment horizontal="center" vertical="top"/>
    </xf>
    <xf numFmtId="0" fontId="23" fillId="13" borderId="5" xfId="0" applyFont="1" applyFill="1" applyBorder="1" applyAlignment="1">
      <alignment horizontal="center" vertical="top"/>
    </xf>
    <xf numFmtId="0" fontId="11" fillId="0" borderId="3" xfId="0" applyFont="1" applyBorder="1" applyAlignment="1">
      <alignment horizontal="center" vertical="top"/>
    </xf>
    <xf numFmtId="0" fontId="11" fillId="0" borderId="4" xfId="0" applyFont="1" applyBorder="1" applyAlignment="1">
      <alignment horizontal="center" vertical="top"/>
    </xf>
    <xf numFmtId="0" fontId="11" fillId="0" borderId="5" xfId="0" applyFont="1" applyBorder="1" applyAlignment="1">
      <alignment horizontal="center" vertical="top"/>
    </xf>
    <xf numFmtId="0" fontId="11" fillId="0" borderId="1" xfId="0" applyFont="1" applyBorder="1" applyAlignment="1">
      <alignment horizontal="center" vertical="top"/>
    </xf>
    <xf numFmtId="0" fontId="23" fillId="11" borderId="3" xfId="0" applyFont="1" applyFill="1" applyBorder="1" applyAlignment="1">
      <alignment horizontal="center" vertical="center"/>
    </xf>
    <xf numFmtId="0" fontId="23" fillId="11" borderId="5" xfId="0" applyFont="1" applyFill="1" applyBorder="1" applyAlignment="1">
      <alignment horizontal="center" vertical="center"/>
    </xf>
    <xf numFmtId="14" fontId="23" fillId="11" borderId="3" xfId="0" applyNumberFormat="1" applyFont="1" applyFill="1" applyBorder="1" applyAlignment="1">
      <alignment horizontal="center" vertical="center"/>
    </xf>
    <xf numFmtId="14" fontId="23" fillId="11" borderId="5" xfId="0" applyNumberFormat="1" applyFont="1" applyFill="1" applyBorder="1" applyAlignment="1">
      <alignment horizontal="center" vertical="center"/>
    </xf>
    <xf numFmtId="0" fontId="0" fillId="11" borderId="17" xfId="0" applyFill="1" applyBorder="1" applyAlignment="1">
      <alignment horizontal="center"/>
    </xf>
    <xf numFmtId="0" fontId="0" fillId="11" borderId="18" xfId="0" applyFill="1" applyBorder="1" applyAlignment="1">
      <alignment horizontal="center"/>
    </xf>
    <xf numFmtId="0" fontId="0" fillId="11" borderId="19" xfId="0" applyFill="1" applyBorder="1" applyAlignment="1">
      <alignment horizontal="center"/>
    </xf>
    <xf numFmtId="0" fontId="26" fillId="11" borderId="6" xfId="0" applyFont="1" applyFill="1" applyBorder="1" applyAlignment="1">
      <alignment horizontal="center" vertical="center"/>
    </xf>
    <xf numFmtId="0" fontId="26" fillId="11" borderId="2" xfId="0" applyFont="1" applyFill="1" applyBorder="1" applyAlignment="1">
      <alignment horizontal="center" vertical="center"/>
    </xf>
    <xf numFmtId="0" fontId="26" fillId="11" borderId="7" xfId="0" applyFont="1" applyFill="1" applyBorder="1" applyAlignment="1">
      <alignment horizontal="center" vertical="center"/>
    </xf>
    <xf numFmtId="0" fontId="26" fillId="11" borderId="10" xfId="0" applyFont="1" applyFill="1" applyBorder="1" applyAlignment="1">
      <alignment horizontal="center" vertical="center"/>
    </xf>
    <xf numFmtId="0" fontId="26" fillId="11" borderId="11" xfId="0" applyFont="1" applyFill="1" applyBorder="1" applyAlignment="1">
      <alignment horizontal="center" vertical="center"/>
    </xf>
    <xf numFmtId="0" fontId="26" fillId="11" borderId="12" xfId="0" applyFont="1" applyFill="1" applyBorder="1" applyAlignment="1">
      <alignment horizontal="center" vertical="center"/>
    </xf>
    <xf numFmtId="0" fontId="21" fillId="11" borderId="1" xfId="0" applyFont="1" applyFill="1" applyBorder="1" applyAlignment="1">
      <alignment horizontal="center" vertical="center"/>
    </xf>
    <xf numFmtId="0" fontId="9" fillId="10" borderId="1" xfId="0" applyFont="1" applyFill="1" applyBorder="1" applyAlignment="1">
      <alignment horizontal="center" vertical="center" wrapText="1"/>
    </xf>
    <xf numFmtId="0" fontId="10" fillId="11" borderId="3" xfId="0" applyFont="1" applyFill="1" applyBorder="1" applyAlignment="1">
      <alignment horizontal="left" vertical="center"/>
    </xf>
    <xf numFmtId="0" fontId="10" fillId="11" borderId="4" xfId="0" applyFont="1" applyFill="1" applyBorder="1" applyAlignment="1">
      <alignment horizontal="left" vertical="center"/>
    </xf>
    <xf numFmtId="0" fontId="10" fillId="11" borderId="5" xfId="0" applyFont="1" applyFill="1" applyBorder="1" applyAlignment="1">
      <alignment horizontal="left" vertical="center"/>
    </xf>
    <xf numFmtId="0" fontId="10" fillId="13"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10" fillId="13" borderId="3" xfId="0" applyFont="1" applyFill="1" applyBorder="1" applyAlignment="1">
      <alignment horizontal="left" vertical="center" wrapText="1"/>
    </xf>
    <xf numFmtId="0" fontId="10" fillId="13" borderId="4" xfId="0" applyFont="1" applyFill="1" applyBorder="1" applyAlignment="1">
      <alignment horizontal="left" vertical="center" wrapText="1"/>
    </xf>
    <xf numFmtId="0" fontId="10" fillId="13" borderId="5" xfId="0" applyFont="1" applyFill="1" applyBorder="1" applyAlignment="1">
      <alignment horizontal="left" vertical="center" wrapText="1"/>
    </xf>
    <xf numFmtId="0" fontId="10" fillId="13" borderId="3" xfId="0" applyFont="1" applyFill="1" applyBorder="1" applyAlignment="1">
      <alignment horizontal="center" vertical="center" wrapText="1"/>
    </xf>
    <xf numFmtId="0" fontId="10" fillId="13" borderId="4" xfId="0" applyFont="1" applyFill="1" applyBorder="1" applyAlignment="1">
      <alignment horizontal="center" vertical="center" wrapText="1"/>
    </xf>
    <xf numFmtId="0" fontId="10" fillId="13" borderId="5" xfId="0" applyFont="1" applyFill="1" applyBorder="1" applyAlignment="1">
      <alignment horizontal="center" vertical="center" wrapText="1"/>
    </xf>
    <xf numFmtId="0" fontId="9" fillId="18" borderId="6" xfId="0" applyFont="1" applyFill="1" applyBorder="1" applyAlignment="1">
      <alignment horizontal="center" vertical="center" wrapText="1"/>
    </xf>
    <xf numFmtId="0" fontId="9" fillId="18" borderId="7" xfId="0" applyFont="1" applyFill="1" applyBorder="1" applyAlignment="1">
      <alignment horizontal="center" vertical="center" wrapText="1"/>
    </xf>
    <xf numFmtId="0" fontId="9" fillId="21" borderId="6" xfId="0" applyFont="1" applyFill="1" applyBorder="1" applyAlignment="1">
      <alignment horizontal="center" vertical="center" wrapText="1"/>
    </xf>
    <xf numFmtId="0" fontId="9" fillId="21" borderId="7" xfId="0" applyFont="1" applyFill="1" applyBorder="1" applyAlignment="1">
      <alignment horizontal="center" vertical="center" wrapText="1"/>
    </xf>
    <xf numFmtId="0" fontId="9" fillId="11" borderId="13" xfId="0" applyFont="1" applyFill="1" applyBorder="1" applyAlignment="1">
      <alignment horizontal="center" wrapText="1"/>
    </xf>
    <xf numFmtId="0" fontId="9" fillId="11" borderId="6" xfId="0" applyFont="1" applyFill="1" applyBorder="1" applyAlignment="1">
      <alignment horizontal="center" wrapText="1"/>
    </xf>
    <xf numFmtId="0" fontId="9" fillId="11" borderId="2" xfId="0" applyFont="1" applyFill="1" applyBorder="1" applyAlignment="1">
      <alignment horizontal="center"/>
    </xf>
    <xf numFmtId="0" fontId="9" fillId="11" borderId="7" xfId="0" applyFont="1" applyFill="1" applyBorder="1" applyAlignment="1">
      <alignment horizontal="center"/>
    </xf>
    <xf numFmtId="0" fontId="9" fillId="0" borderId="6" xfId="0" applyFont="1" applyBorder="1" applyAlignment="1">
      <alignment horizontal="center" wrapText="1"/>
    </xf>
    <xf numFmtId="0" fontId="9" fillId="0" borderId="2" xfId="0" applyFont="1" applyBorder="1" applyAlignment="1">
      <alignment horizontal="center"/>
    </xf>
    <xf numFmtId="0" fontId="9" fillId="0" borderId="7" xfId="0" applyFont="1" applyBorder="1" applyAlignment="1">
      <alignment horizontal="center"/>
    </xf>
    <xf numFmtId="0" fontId="9" fillId="11" borderId="3" xfId="0" applyFont="1" applyFill="1" applyBorder="1" applyAlignment="1">
      <alignment horizontal="center" vertical="center" wrapText="1"/>
    </xf>
    <xf numFmtId="0" fontId="9" fillId="11" borderId="4" xfId="0" applyFont="1" applyFill="1" applyBorder="1" applyAlignment="1">
      <alignment horizontal="center" vertical="center"/>
    </xf>
    <xf numFmtId="0" fontId="9" fillId="11" borderId="5" xfId="0" applyFont="1" applyFill="1" applyBorder="1" applyAlignment="1">
      <alignment horizontal="center" vertical="center"/>
    </xf>
    <xf numFmtId="0" fontId="9" fillId="11" borderId="6" xfId="0" applyFont="1" applyFill="1" applyBorder="1" applyAlignment="1">
      <alignment horizontal="center" vertical="center" wrapText="1"/>
    </xf>
    <xf numFmtId="0" fontId="9" fillId="11" borderId="2" xfId="0" applyFont="1" applyFill="1" applyBorder="1" applyAlignment="1">
      <alignment horizontal="center" vertical="center"/>
    </xf>
    <xf numFmtId="0" fontId="9" fillId="11" borderId="7" xfId="0" applyFont="1" applyFill="1" applyBorder="1" applyAlignment="1">
      <alignment horizontal="center" vertical="center"/>
    </xf>
    <xf numFmtId="0" fontId="9" fillId="14" borderId="1" xfId="0" applyFont="1" applyFill="1" applyBorder="1" applyAlignment="1">
      <alignment horizontal="center" vertical="center" wrapText="1"/>
    </xf>
    <xf numFmtId="0" fontId="27" fillId="0" borderId="1" xfId="0" applyFont="1" applyBorder="1" applyAlignment="1">
      <alignment horizontal="center" vertical="center"/>
    </xf>
    <xf numFmtId="0" fontId="15" fillId="0" borderId="0" xfId="0" applyFont="1" applyAlignment="1">
      <alignment horizontal="left"/>
    </xf>
    <xf numFmtId="0" fontId="0" fillId="0" borderId="6" xfId="0" applyBorder="1" applyAlignment="1">
      <alignment horizontal="center"/>
    </xf>
    <xf numFmtId="0" fontId="0" fillId="0" borderId="2"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13" borderId="3" xfId="0" applyFill="1" applyBorder="1" applyAlignment="1">
      <alignment horizontal="left" vertical="center" wrapText="1"/>
    </xf>
    <xf numFmtId="0" fontId="0" fillId="13" borderId="5" xfId="0" applyFill="1" applyBorder="1" applyAlignment="1">
      <alignment horizontal="left" vertical="center" wrapText="1"/>
    </xf>
    <xf numFmtId="0" fontId="14" fillId="20" borderId="3" xfId="0" applyFont="1" applyFill="1" applyBorder="1" applyAlignment="1">
      <alignment horizontal="center" vertical="center"/>
    </xf>
    <xf numFmtId="0" fontId="14" fillId="20" borderId="5" xfId="0" applyFont="1" applyFill="1" applyBorder="1" applyAlignment="1">
      <alignment horizontal="center" vertical="center"/>
    </xf>
    <xf numFmtId="0" fontId="3" fillId="4" borderId="0" xfId="0" applyFont="1" applyFill="1" applyAlignment="1">
      <alignment horizontal="center" vertical="center"/>
    </xf>
  </cellXfs>
  <cellStyles count="3">
    <cellStyle name="Hyperlink" xfId="1" builtinId="8"/>
    <cellStyle name="Normal" xfId="0" builtinId="0"/>
    <cellStyle name="Percent" xfId="2" builtinId="5"/>
  </cellStyles>
  <dxfs count="0"/>
  <tableStyles count="1" defaultTableStyle="TableStyleMedium2" defaultPivotStyle="PivotStyleLight16">
    <tableStyle name="Invisible" pivot="0" table="0" count="0" xr9:uid="{86985325-B735-4769-ACD2-C4499A880198}"/>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PE" b="1"/>
              <a:t>Análisis FODA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34-4238-99D3-27DDB1AFB5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34-4238-99D3-27DDB1AFB5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34-4238-99D3-27DDB1AFB5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34-4238-99D3-27DDB1AFB54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DASHBOARD!$C$21:$C$24</c:f>
              <c:strCache>
                <c:ptCount val="4"/>
                <c:pt idx="0">
                  <c:v>Fortalezas</c:v>
                </c:pt>
                <c:pt idx="1">
                  <c:v>Debilidades</c:v>
                </c:pt>
                <c:pt idx="2">
                  <c:v>Oportunidades</c:v>
                </c:pt>
                <c:pt idx="3">
                  <c:v>Amenazas</c:v>
                </c:pt>
              </c:strCache>
            </c:strRef>
          </c:cat>
          <c:val>
            <c:numRef>
              <c:f>DASHBOARD!$D$21:$D$24</c:f>
              <c:numCache>
                <c:formatCode>0%</c:formatCode>
                <c:ptCount val="4"/>
                <c:pt idx="0">
                  <c:v>0.3300970873786408</c:v>
                </c:pt>
                <c:pt idx="1">
                  <c:v>0.17891816920943135</c:v>
                </c:pt>
                <c:pt idx="2">
                  <c:v>0.20804438280166435</c:v>
                </c:pt>
                <c:pt idx="3">
                  <c:v>0.28294036061026351</c:v>
                </c:pt>
              </c:numCache>
            </c:numRef>
          </c:val>
          <c:extLst>
            <c:ext xmlns:c16="http://schemas.microsoft.com/office/drawing/2014/chart" uri="{C3380CC4-5D6E-409C-BE32-E72D297353CC}">
              <c16:uniqueId val="{00000000-7FA6-4501-8B6C-F32053ADE4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Estado de Planes de acción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DASHBOARD!$L$20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DASHBOARD!$K$21:$K$23</c:f>
              <c:strCache>
                <c:ptCount val="3"/>
                <c:pt idx="0">
                  <c:v>Pendiente</c:v>
                </c:pt>
                <c:pt idx="1">
                  <c:v>En proceso</c:v>
                </c:pt>
                <c:pt idx="2">
                  <c:v>Culminado</c:v>
                </c:pt>
              </c:strCache>
            </c:strRef>
          </c:cat>
          <c:val>
            <c:numRef>
              <c:f>DASHBOARD!$L$21:$L$23</c:f>
              <c:numCache>
                <c:formatCode>General</c:formatCode>
                <c:ptCount val="3"/>
                <c:pt idx="0">
                  <c:v>0</c:v>
                </c:pt>
                <c:pt idx="1">
                  <c:v>0</c:v>
                </c:pt>
                <c:pt idx="2">
                  <c:v>0</c:v>
                </c:pt>
              </c:numCache>
            </c:numRef>
          </c:val>
          <c:extLst>
            <c:ext xmlns:c16="http://schemas.microsoft.com/office/drawing/2014/chart" uri="{C3380CC4-5D6E-409C-BE32-E72D297353CC}">
              <c16:uniqueId val="{00000000-715B-4456-94D2-74AF348F658B}"/>
            </c:ext>
          </c:extLst>
        </c:ser>
        <c:dLbls>
          <c:showLegendKey val="0"/>
          <c:showVal val="0"/>
          <c:showCatName val="0"/>
          <c:showSerName val="0"/>
          <c:showPercent val="0"/>
          <c:showBubbleSize val="0"/>
        </c:dLbls>
        <c:gapWidth val="219"/>
        <c:overlap val="-27"/>
        <c:axId val="1110040399"/>
        <c:axId val="1338129935"/>
      </c:barChart>
      <c:catAx>
        <c:axId val="111004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29935"/>
        <c:crosses val="autoZero"/>
        <c:auto val="1"/>
        <c:lblAlgn val="ctr"/>
        <c:lblOffset val="100"/>
        <c:noMultiLvlLbl val="0"/>
      </c:catAx>
      <c:valAx>
        <c:axId val="133812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0403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Gráfico Radar FODA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DASHBOARD!$G$21:$G$24</c:f>
              <c:strCache>
                <c:ptCount val="4"/>
                <c:pt idx="0">
                  <c:v>FORTALEZAS</c:v>
                </c:pt>
                <c:pt idx="1">
                  <c:v>DEBILIDADES</c:v>
                </c:pt>
                <c:pt idx="2">
                  <c:v>OPORTUNIDADES</c:v>
                </c:pt>
                <c:pt idx="3">
                  <c:v>AMENAZAS</c:v>
                </c:pt>
              </c:strCache>
            </c:strRef>
          </c:cat>
          <c:val>
            <c:numRef>
              <c:f>DASHBOARD!$H$21:$H$24</c:f>
              <c:numCache>
                <c:formatCode>General</c:formatCode>
                <c:ptCount val="4"/>
                <c:pt idx="0">
                  <c:v>238</c:v>
                </c:pt>
                <c:pt idx="1">
                  <c:v>129</c:v>
                </c:pt>
                <c:pt idx="2">
                  <c:v>150</c:v>
                </c:pt>
                <c:pt idx="3">
                  <c:v>204</c:v>
                </c:pt>
              </c:numCache>
            </c:numRef>
          </c:val>
          <c:extLst>
            <c:ext xmlns:c16="http://schemas.microsoft.com/office/drawing/2014/chart" uri="{C3380CC4-5D6E-409C-BE32-E72D297353CC}">
              <c16:uniqueId val="{00000000-982C-45F7-9F7D-8E5990717A6E}"/>
            </c:ext>
          </c:extLst>
        </c:ser>
        <c:dLbls>
          <c:showLegendKey val="0"/>
          <c:showVal val="0"/>
          <c:showCatName val="0"/>
          <c:showSerName val="0"/>
          <c:showPercent val="0"/>
          <c:showBubbleSize val="0"/>
        </c:dLbls>
        <c:axId val="1340303055"/>
        <c:axId val="1333763343"/>
      </c:radarChart>
      <c:catAx>
        <c:axId val="134030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63343"/>
        <c:crosses val="autoZero"/>
        <c:auto val="1"/>
        <c:lblAlgn val="ctr"/>
        <c:lblOffset val="100"/>
        <c:noMultiLvlLbl val="0"/>
      </c:catAx>
      <c:valAx>
        <c:axId val="133376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0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1285875</xdr:colOff>
      <xdr:row>7</xdr:row>
      <xdr:rowOff>247649</xdr:rowOff>
    </xdr:from>
    <xdr:to>
      <xdr:col>15</xdr:col>
      <xdr:colOff>176823</xdr:colOff>
      <xdr:row>13</xdr:row>
      <xdr:rowOff>28574</xdr:rowOff>
    </xdr:to>
    <xdr:pic>
      <xdr:nvPicPr>
        <xdr:cNvPr id="2" name="Imagen 1" descr="Imagen que contiene dibujo&#10;&#10;Descripción generada automáticamente">
          <a:extLst>
            <a:ext uri="{FF2B5EF4-FFF2-40B4-BE49-F238E27FC236}">
              <a16:creationId xmlns:a16="http://schemas.microsoft.com/office/drawing/2014/main" id="{2524840B-D71F-4538-8E42-1C302D4FC4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5275" y="2162174"/>
          <a:ext cx="1538898" cy="1495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8</xdr:row>
      <xdr:rowOff>9525</xdr:rowOff>
    </xdr:from>
    <xdr:to>
      <xdr:col>4</xdr:col>
      <xdr:colOff>342900</xdr:colOff>
      <xdr:row>18</xdr:row>
      <xdr:rowOff>57150</xdr:rowOff>
    </xdr:to>
    <xdr:graphicFrame macro="">
      <xdr:nvGraphicFramePr>
        <xdr:cNvPr id="3" name="Gráfico 2">
          <a:extLst>
            <a:ext uri="{FF2B5EF4-FFF2-40B4-BE49-F238E27FC236}">
              <a16:creationId xmlns:a16="http://schemas.microsoft.com/office/drawing/2014/main" id="{1ED518C1-727A-4F28-9874-CEB07DE7D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142875</xdr:colOff>
      <xdr:row>7</xdr:row>
      <xdr:rowOff>114299</xdr:rowOff>
    </xdr:from>
    <xdr:to>
      <xdr:col>13</xdr:col>
      <xdr:colOff>323850</xdr:colOff>
      <xdr:row>18</xdr:row>
      <xdr:rowOff>42861</xdr:rowOff>
    </xdr:to>
    <xdr:graphicFrame macro="">
      <xdr:nvGraphicFramePr>
        <xdr:cNvPr id="5" name="Gráfico 4">
          <a:extLst>
            <a:ext uri="{FF2B5EF4-FFF2-40B4-BE49-F238E27FC236}">
              <a16:creationId xmlns:a16="http://schemas.microsoft.com/office/drawing/2014/main" id="{966FBFB3-9434-4FE7-A9A6-A9D1205C5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552450</xdr:colOff>
      <xdr:row>7</xdr:row>
      <xdr:rowOff>157162</xdr:rowOff>
    </xdr:from>
    <xdr:to>
      <xdr:col>8</xdr:col>
      <xdr:colOff>771525</xdr:colOff>
      <xdr:row>18</xdr:row>
      <xdr:rowOff>38100</xdr:rowOff>
    </xdr:to>
    <xdr:graphicFrame macro="">
      <xdr:nvGraphicFramePr>
        <xdr:cNvPr id="6" name="Gráfico 5">
          <a:extLst>
            <a:ext uri="{FF2B5EF4-FFF2-40B4-BE49-F238E27FC236}">
              <a16:creationId xmlns:a16="http://schemas.microsoft.com/office/drawing/2014/main" id="{E6088D34-434F-4B84-B297-A65D66F78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31750">
          <a:solidFill>
            <a:schemeClr val="accent6">
              <a:lumMod val="75000"/>
            </a:schemeClr>
          </a:solidFill>
        </a:ln>
      </a:spPr>
      <a:bodyPr vertOverflow="clip" horzOverflow="clip" rtlCol="0" anchor="t"/>
      <a:lstStyle>
        <a:defPPr algn="l">
          <a:defRPr sz="1100"/>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7C08-298D-4067-8598-DCC1719578BC}">
  <dimension ref="B1:S15"/>
  <sheetViews>
    <sheetView showGridLines="0" zoomScaleNormal="100" workbookViewId="0">
      <selection activeCell="B2" sqref="B2:Q2"/>
    </sheetView>
  </sheetViews>
  <sheetFormatPr defaultColWidth="11.42578125" defaultRowHeight="15"/>
  <cols>
    <col min="1" max="1" width="5.7109375" customWidth="1"/>
    <col min="2" max="2" width="3.85546875" customWidth="1"/>
    <col min="3" max="3" width="5.7109375" style="1" customWidth="1"/>
    <col min="4" max="5" width="2.7109375" style="1" customWidth="1"/>
    <col min="8" max="8" width="18.28515625" customWidth="1"/>
    <col min="9" max="9" width="20.28515625" customWidth="1"/>
    <col min="10" max="10" width="5.42578125" customWidth="1"/>
    <col min="11" max="11" width="5.28515625" style="1" customWidth="1"/>
    <col min="12" max="13" width="3.28515625" customWidth="1"/>
    <col min="14" max="14" width="20.28515625" customWidth="1"/>
    <col min="15" max="15" width="19.42578125" customWidth="1"/>
    <col min="16" max="16" width="20.140625" customWidth="1"/>
    <col min="17" max="17" width="3" customWidth="1"/>
  </cols>
  <sheetData>
    <row r="1" spans="2:19" ht="19.5" customHeight="1"/>
    <row r="2" spans="2:19" ht="32.25" customHeight="1">
      <c r="B2" s="131" t="s">
        <v>0</v>
      </c>
      <c r="C2" s="132"/>
      <c r="D2" s="132"/>
      <c r="E2" s="132"/>
      <c r="F2" s="132"/>
      <c r="G2" s="132"/>
      <c r="H2" s="132"/>
      <c r="I2" s="132"/>
      <c r="J2" s="132"/>
      <c r="K2" s="132"/>
      <c r="L2" s="132"/>
      <c r="M2" s="132"/>
      <c r="N2" s="132"/>
      <c r="O2" s="132"/>
      <c r="P2" s="132"/>
      <c r="Q2" s="133"/>
      <c r="S2" s="116" t="s">
        <v>1</v>
      </c>
    </row>
    <row r="3" spans="2:19" ht="15.75" customHeight="1">
      <c r="B3" s="100"/>
      <c r="C3" s="101"/>
      <c r="D3" s="101"/>
      <c r="E3" s="101"/>
      <c r="F3" s="102"/>
      <c r="G3" s="102"/>
      <c r="H3" s="102"/>
      <c r="I3" s="102"/>
      <c r="J3" s="102"/>
      <c r="K3" s="101"/>
      <c r="L3" s="102"/>
      <c r="M3" s="102"/>
      <c r="N3" s="102"/>
      <c r="O3" s="102"/>
      <c r="P3" s="102"/>
      <c r="Q3" s="103"/>
    </row>
    <row r="4" spans="2:19" ht="22.5" customHeight="1">
      <c r="B4" s="100"/>
      <c r="C4" s="55" t="s">
        <v>2</v>
      </c>
      <c r="D4" s="104"/>
      <c r="E4" s="105"/>
      <c r="F4" s="134" t="s">
        <v>3</v>
      </c>
      <c r="G4" s="134"/>
      <c r="H4" s="134"/>
      <c r="I4" s="134"/>
      <c r="J4" s="106"/>
      <c r="K4" s="55" t="s">
        <v>2</v>
      </c>
      <c r="L4" s="106"/>
      <c r="M4" s="107"/>
      <c r="N4" s="135" t="s">
        <v>3</v>
      </c>
      <c r="O4" s="136"/>
      <c r="P4" s="137"/>
      <c r="Q4" s="103"/>
    </row>
    <row r="5" spans="2:19" ht="22.5" customHeight="1">
      <c r="B5" s="100"/>
      <c r="C5" s="105"/>
      <c r="D5" s="104"/>
      <c r="E5" s="105"/>
      <c r="F5" s="105"/>
      <c r="G5" s="105"/>
      <c r="H5" s="105"/>
      <c r="I5" s="105"/>
      <c r="J5" s="106"/>
      <c r="K5" s="105"/>
      <c r="L5" s="106"/>
      <c r="M5" s="107"/>
      <c r="N5" s="106"/>
      <c r="O5" s="106"/>
      <c r="P5" s="106"/>
      <c r="Q5" s="103"/>
    </row>
    <row r="6" spans="2:19" ht="22.5" customHeight="1">
      <c r="B6" s="100"/>
      <c r="C6" s="108">
        <v>1</v>
      </c>
      <c r="D6" s="104"/>
      <c r="E6" s="105"/>
      <c r="F6" s="138" t="s">
        <v>4</v>
      </c>
      <c r="G6" s="139"/>
      <c r="H6" s="139"/>
      <c r="I6" s="140"/>
      <c r="J6" s="105"/>
      <c r="K6" s="108">
        <v>6</v>
      </c>
      <c r="L6" s="106"/>
      <c r="M6" s="107"/>
      <c r="N6" s="141" t="s">
        <v>5</v>
      </c>
      <c r="O6" s="142"/>
      <c r="P6" s="143"/>
      <c r="Q6" s="103"/>
    </row>
    <row r="7" spans="2:19" ht="22.5" customHeight="1">
      <c r="B7" s="100"/>
      <c r="C7" s="105"/>
      <c r="D7" s="104"/>
      <c r="E7" s="105"/>
      <c r="F7" s="109"/>
      <c r="G7" s="109"/>
      <c r="H7" s="109"/>
      <c r="I7" s="109"/>
      <c r="J7" s="105"/>
      <c r="K7" s="105"/>
      <c r="L7" s="106"/>
      <c r="M7" s="107"/>
      <c r="N7" s="106"/>
      <c r="O7" s="106"/>
      <c r="P7" s="106"/>
      <c r="Q7" s="103"/>
    </row>
    <row r="8" spans="2:19" ht="22.5" customHeight="1">
      <c r="B8" s="100"/>
      <c r="C8" s="108">
        <v>2</v>
      </c>
      <c r="D8" s="104"/>
      <c r="E8" s="105"/>
      <c r="F8" s="144" t="s">
        <v>6</v>
      </c>
      <c r="G8" s="145"/>
      <c r="H8" s="145"/>
      <c r="I8" s="146"/>
      <c r="J8" s="105"/>
      <c r="K8" s="105"/>
      <c r="L8" s="106"/>
      <c r="M8" s="107"/>
      <c r="N8" s="106"/>
      <c r="O8" s="106"/>
      <c r="P8" s="106"/>
      <c r="Q8" s="103"/>
    </row>
    <row r="9" spans="2:19" ht="22.5" customHeight="1">
      <c r="B9" s="100"/>
      <c r="C9" s="105"/>
      <c r="D9" s="104"/>
      <c r="E9" s="105"/>
      <c r="F9" s="109"/>
      <c r="G9" s="109"/>
      <c r="H9" s="109"/>
      <c r="I9" s="109"/>
      <c r="J9" s="105"/>
      <c r="K9" s="105"/>
      <c r="L9" s="106"/>
      <c r="M9" s="107"/>
      <c r="N9" s="106"/>
      <c r="O9" s="106"/>
      <c r="P9" s="106"/>
      <c r="Q9" s="103"/>
    </row>
    <row r="10" spans="2:19" ht="22.5" customHeight="1">
      <c r="B10" s="100"/>
      <c r="C10" s="108">
        <v>3</v>
      </c>
      <c r="D10" s="104"/>
      <c r="E10" s="105"/>
      <c r="F10" s="122" t="s">
        <v>7</v>
      </c>
      <c r="G10" s="123"/>
      <c r="H10" s="123"/>
      <c r="I10" s="124"/>
      <c r="J10" s="105"/>
      <c r="K10" s="105"/>
      <c r="L10" s="106"/>
      <c r="M10" s="107"/>
      <c r="N10" s="106"/>
      <c r="O10" s="106"/>
      <c r="P10" s="106"/>
      <c r="Q10" s="103"/>
    </row>
    <row r="11" spans="2:19" ht="22.5" customHeight="1">
      <c r="B11" s="100"/>
      <c r="C11" s="105"/>
      <c r="D11" s="104"/>
      <c r="E11" s="105"/>
      <c r="F11" s="109"/>
      <c r="G11" s="109"/>
      <c r="H11" s="109"/>
      <c r="I11" s="109"/>
      <c r="J11" s="105"/>
      <c r="K11" s="105"/>
      <c r="L11" s="106"/>
      <c r="M11" s="107"/>
      <c r="N11" s="106"/>
      <c r="O11" s="106"/>
      <c r="P11" s="106"/>
      <c r="Q11" s="103"/>
    </row>
    <row r="12" spans="2:19" ht="22.5" customHeight="1">
      <c r="B12" s="100"/>
      <c r="C12" s="108">
        <v>4</v>
      </c>
      <c r="D12" s="104"/>
      <c r="E12" s="105"/>
      <c r="F12" s="125" t="s">
        <v>8</v>
      </c>
      <c r="G12" s="126"/>
      <c r="H12" s="126"/>
      <c r="I12" s="127"/>
      <c r="J12" s="105"/>
      <c r="K12" s="105"/>
      <c r="L12" s="106"/>
      <c r="M12" s="107"/>
      <c r="N12" s="106"/>
      <c r="O12" s="106"/>
      <c r="P12" s="106"/>
      <c r="Q12" s="103"/>
    </row>
    <row r="13" spans="2:19" ht="22.5" customHeight="1">
      <c r="B13" s="100"/>
      <c r="C13" s="105"/>
      <c r="D13" s="104"/>
      <c r="E13" s="105"/>
      <c r="F13" s="109"/>
      <c r="G13" s="109"/>
      <c r="H13" s="109"/>
      <c r="I13" s="109"/>
      <c r="J13" s="105"/>
      <c r="K13" s="105"/>
      <c r="L13" s="106"/>
      <c r="M13" s="107"/>
      <c r="N13" s="106"/>
      <c r="O13" s="106"/>
      <c r="P13" s="106"/>
      <c r="Q13" s="103"/>
    </row>
    <row r="14" spans="2:19" ht="22.5" customHeight="1">
      <c r="B14" s="100"/>
      <c r="C14" s="108">
        <v>5</v>
      </c>
      <c r="D14" s="104"/>
      <c r="E14" s="105"/>
      <c r="F14" s="128" t="s">
        <v>9</v>
      </c>
      <c r="G14" s="129"/>
      <c r="H14" s="129"/>
      <c r="I14" s="130"/>
      <c r="J14" s="105"/>
      <c r="K14" s="105"/>
      <c r="L14" s="106"/>
      <c r="M14" s="107"/>
      <c r="N14" s="106"/>
      <c r="O14" s="106"/>
      <c r="P14" s="106"/>
      <c r="Q14" s="103"/>
    </row>
    <row r="15" spans="2:19" ht="22.5" customHeight="1">
      <c r="B15" s="110"/>
      <c r="C15" s="111"/>
      <c r="D15" s="111"/>
      <c r="E15" s="111"/>
      <c r="F15" s="112"/>
      <c r="G15" s="112"/>
      <c r="H15" s="112"/>
      <c r="I15" s="112"/>
      <c r="J15" s="112"/>
      <c r="K15" s="111"/>
      <c r="L15" s="112"/>
      <c r="M15" s="112"/>
      <c r="N15" s="112"/>
      <c r="O15" s="112"/>
      <c r="P15" s="112"/>
      <c r="Q15" s="113"/>
    </row>
  </sheetData>
  <mergeCells count="9">
    <mergeCell ref="F10:I10"/>
    <mergeCell ref="F12:I12"/>
    <mergeCell ref="F14:I14"/>
    <mergeCell ref="B2:Q2"/>
    <mergeCell ref="F4:I4"/>
    <mergeCell ref="N4:P4"/>
    <mergeCell ref="F6:I6"/>
    <mergeCell ref="N6:P6"/>
    <mergeCell ref="F8:I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84E44-2269-472C-8B91-D6C137D80DF4}">
  <dimension ref="B2:K26"/>
  <sheetViews>
    <sheetView showGridLines="0" topLeftCell="A10" zoomScaleNormal="100" workbookViewId="0">
      <selection activeCell="B2" sqref="B2:C5"/>
    </sheetView>
  </sheetViews>
  <sheetFormatPr defaultColWidth="11.42578125" defaultRowHeight="15"/>
  <cols>
    <col min="1" max="1" width="5.7109375" customWidth="1"/>
    <col min="3" max="3" width="12.28515625" customWidth="1"/>
  </cols>
  <sheetData>
    <row r="2" spans="2:11" ht="19.5" customHeight="1">
      <c r="B2" s="172"/>
      <c r="C2" s="173"/>
      <c r="D2" s="179" t="s">
        <v>10</v>
      </c>
      <c r="E2" s="179"/>
      <c r="F2" s="179"/>
      <c r="G2" s="179"/>
      <c r="H2" s="178" t="s">
        <v>11</v>
      </c>
      <c r="I2" s="178"/>
      <c r="J2" s="168"/>
      <c r="K2" s="169"/>
    </row>
    <row r="3" spans="2:11" ht="19.5" customHeight="1">
      <c r="B3" s="174"/>
      <c r="C3" s="175"/>
      <c r="D3" s="179"/>
      <c r="E3" s="179"/>
      <c r="F3" s="179"/>
      <c r="G3" s="179"/>
      <c r="H3" s="178" t="s">
        <v>12</v>
      </c>
      <c r="I3" s="178"/>
      <c r="J3" s="168"/>
      <c r="K3" s="169"/>
    </row>
    <row r="4" spans="2:11" ht="19.5" customHeight="1">
      <c r="B4" s="174"/>
      <c r="C4" s="175"/>
      <c r="D4" s="180"/>
      <c r="E4" s="180"/>
      <c r="F4" s="180"/>
      <c r="G4" s="180"/>
      <c r="H4" s="178" t="s">
        <v>13</v>
      </c>
      <c r="I4" s="178"/>
      <c r="J4" s="168"/>
      <c r="K4" s="169"/>
    </row>
    <row r="5" spans="2:11" ht="19.5" customHeight="1">
      <c r="B5" s="176"/>
      <c r="C5" s="177"/>
      <c r="D5" s="180"/>
      <c r="E5" s="180"/>
      <c r="F5" s="180"/>
      <c r="G5" s="180"/>
      <c r="H5" s="178" t="s">
        <v>14</v>
      </c>
      <c r="I5" s="178"/>
      <c r="J5" s="170"/>
      <c r="K5" s="171"/>
    </row>
    <row r="8" spans="2:11" ht="27" customHeight="1">
      <c r="B8" s="156" t="s">
        <v>15</v>
      </c>
      <c r="C8" s="156"/>
    </row>
    <row r="9" spans="2:11">
      <c r="B9" s="157" t="s">
        <v>16</v>
      </c>
      <c r="C9" s="158"/>
      <c r="D9" s="158"/>
      <c r="E9" s="158"/>
      <c r="F9" s="158"/>
      <c r="G9" s="158"/>
      <c r="H9" s="158"/>
      <c r="I9" s="158"/>
      <c r="J9" s="158"/>
      <c r="K9" s="159"/>
    </row>
    <row r="10" spans="2:11">
      <c r="B10" s="160"/>
      <c r="C10" s="161"/>
      <c r="D10" s="161"/>
      <c r="E10" s="161"/>
      <c r="F10" s="161"/>
      <c r="G10" s="161"/>
      <c r="H10" s="161"/>
      <c r="I10" s="161"/>
      <c r="J10" s="161"/>
      <c r="K10" s="162"/>
    </row>
    <row r="11" spans="2:11">
      <c r="B11" s="160"/>
      <c r="C11" s="161"/>
      <c r="D11" s="161"/>
      <c r="E11" s="161"/>
      <c r="F11" s="161"/>
      <c r="G11" s="161"/>
      <c r="H11" s="161"/>
      <c r="I11" s="161"/>
      <c r="J11" s="161"/>
      <c r="K11" s="162"/>
    </row>
    <row r="12" spans="2:11">
      <c r="B12" s="163"/>
      <c r="C12" s="164"/>
      <c r="D12" s="164"/>
      <c r="E12" s="164"/>
      <c r="F12" s="164"/>
      <c r="G12" s="164"/>
      <c r="H12" s="164"/>
      <c r="I12" s="164"/>
      <c r="J12" s="164"/>
      <c r="K12" s="165"/>
    </row>
    <row r="15" spans="2:11" ht="18.75">
      <c r="B15" s="156" t="s">
        <v>17</v>
      </c>
      <c r="C15" s="156"/>
    </row>
    <row r="16" spans="2:11" ht="15.75" customHeight="1">
      <c r="B16" s="166" t="s">
        <v>18</v>
      </c>
      <c r="C16" s="158"/>
      <c r="D16" s="158"/>
      <c r="E16" s="158"/>
      <c r="F16" s="158"/>
      <c r="G16" s="158"/>
      <c r="H16" s="158"/>
      <c r="I16" s="158"/>
      <c r="J16" s="158"/>
      <c r="K16" s="159"/>
    </row>
    <row r="17" spans="2:11" ht="15.75" customHeight="1">
      <c r="B17" s="160"/>
      <c r="C17" s="161"/>
      <c r="D17" s="161"/>
      <c r="E17" s="161"/>
      <c r="F17" s="161"/>
      <c r="G17" s="161"/>
      <c r="H17" s="161"/>
      <c r="I17" s="161"/>
      <c r="J17" s="161"/>
      <c r="K17" s="162"/>
    </row>
    <row r="18" spans="2:11" ht="15.75" customHeight="1">
      <c r="B18" s="160"/>
      <c r="C18" s="161"/>
      <c r="D18" s="161"/>
      <c r="E18" s="161"/>
      <c r="F18" s="161"/>
      <c r="G18" s="161"/>
      <c r="H18" s="161"/>
      <c r="I18" s="161"/>
      <c r="J18" s="161"/>
      <c r="K18" s="162"/>
    </row>
    <row r="19" spans="2:11" ht="15.75" customHeight="1">
      <c r="B19" s="163"/>
      <c r="C19" s="164"/>
      <c r="D19" s="164"/>
      <c r="E19" s="164"/>
      <c r="F19" s="164"/>
      <c r="G19" s="164"/>
      <c r="H19" s="164"/>
      <c r="I19" s="164"/>
      <c r="J19" s="164"/>
      <c r="K19" s="165"/>
    </row>
    <row r="22" spans="2:11" ht="18.75">
      <c r="B22" s="167" t="s">
        <v>19</v>
      </c>
      <c r="C22" s="167"/>
      <c r="D22" s="167"/>
    </row>
    <row r="23" spans="2:11" ht="34.5" customHeight="1">
      <c r="B23" s="147" t="s">
        <v>20</v>
      </c>
      <c r="C23" s="148"/>
      <c r="D23" s="148"/>
      <c r="E23" s="148"/>
      <c r="F23" s="148"/>
      <c r="G23" s="148"/>
      <c r="H23" s="148"/>
      <c r="I23" s="148"/>
      <c r="J23" s="148"/>
      <c r="K23" s="149"/>
    </row>
    <row r="24" spans="2:11" ht="34.5" customHeight="1">
      <c r="B24" s="150"/>
      <c r="C24" s="151"/>
      <c r="D24" s="151"/>
      <c r="E24" s="151"/>
      <c r="F24" s="151"/>
      <c r="G24" s="151"/>
      <c r="H24" s="151"/>
      <c r="I24" s="151"/>
      <c r="J24" s="151"/>
      <c r="K24" s="152"/>
    </row>
    <row r="25" spans="2:11" ht="34.5" customHeight="1">
      <c r="B25" s="150"/>
      <c r="C25" s="151"/>
      <c r="D25" s="151"/>
      <c r="E25" s="151"/>
      <c r="F25" s="151"/>
      <c r="G25" s="151"/>
      <c r="H25" s="151"/>
      <c r="I25" s="151"/>
      <c r="J25" s="151"/>
      <c r="K25" s="152"/>
    </row>
    <row r="26" spans="2:11" ht="24.75" customHeight="1">
      <c r="B26" s="153"/>
      <c r="C26" s="154"/>
      <c r="D26" s="154"/>
      <c r="E26" s="154"/>
      <c r="F26" s="154"/>
      <c r="G26" s="154"/>
      <c r="H26" s="154"/>
      <c r="I26" s="154"/>
      <c r="J26" s="154"/>
      <c r="K26" s="155"/>
    </row>
  </sheetData>
  <mergeCells count="17">
    <mergeCell ref="J4:K4"/>
    <mergeCell ref="J5:K5"/>
    <mergeCell ref="B2:C5"/>
    <mergeCell ref="H2:I2"/>
    <mergeCell ref="H3:I3"/>
    <mergeCell ref="H4:I4"/>
    <mergeCell ref="H5:I5"/>
    <mergeCell ref="D2:G3"/>
    <mergeCell ref="D4:G5"/>
    <mergeCell ref="J2:K2"/>
    <mergeCell ref="J3:K3"/>
    <mergeCell ref="B23:K26"/>
    <mergeCell ref="B8:C8"/>
    <mergeCell ref="B9:K12"/>
    <mergeCell ref="B15:C15"/>
    <mergeCell ref="B16:K19"/>
    <mergeCell ref="B22:D22"/>
  </mergeCells>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2"/>
  <sheetViews>
    <sheetView showGridLines="0" tabSelected="1" topLeftCell="A18" zoomScaleNormal="100" workbookViewId="0">
      <selection activeCell="G30" sqref="G30"/>
    </sheetView>
  </sheetViews>
  <sheetFormatPr defaultColWidth="11.42578125" defaultRowHeight="15"/>
  <cols>
    <col min="1" max="1" width="6.7109375" customWidth="1"/>
    <col min="4" max="4" width="3.85546875" customWidth="1"/>
    <col min="5" max="7" width="16.28515625" customWidth="1"/>
    <col min="8" max="8" width="3.7109375" style="1" customWidth="1"/>
    <col min="9" max="9" width="17" customWidth="1"/>
    <col min="10" max="10" width="15.42578125" customWidth="1"/>
    <col min="11" max="11" width="20.85546875" customWidth="1"/>
    <col min="12" max="12" width="11.7109375" bestFit="1" customWidth="1"/>
  </cols>
  <sheetData>
    <row r="2" spans="2:11" ht="19.5" customHeight="1">
      <c r="B2" s="186"/>
      <c r="C2" s="187"/>
      <c r="D2" s="192" t="str">
        <f>+VIMIVA!D2</f>
        <v>ARCDATA</v>
      </c>
      <c r="E2" s="192"/>
      <c r="F2" s="192"/>
      <c r="G2" s="192"/>
      <c r="H2" s="192"/>
      <c r="I2" s="192"/>
      <c r="J2" s="95" t="s">
        <v>11</v>
      </c>
      <c r="K2" s="96">
        <f>+VIMIVA!J2</f>
        <v>0</v>
      </c>
    </row>
    <row r="3" spans="2:11" ht="19.5" customHeight="1">
      <c r="B3" s="188"/>
      <c r="C3" s="189"/>
      <c r="D3" s="192"/>
      <c r="E3" s="192"/>
      <c r="F3" s="192"/>
      <c r="G3" s="192"/>
      <c r="H3" s="192"/>
      <c r="I3" s="192"/>
      <c r="J3" s="95" t="s">
        <v>12</v>
      </c>
      <c r="K3" s="96">
        <f>+VIMIVA!J3</f>
        <v>0</v>
      </c>
    </row>
    <row r="4" spans="2:11" ht="19.5" customHeight="1">
      <c r="B4" s="188"/>
      <c r="C4" s="189"/>
      <c r="D4" s="192" t="s">
        <v>21</v>
      </c>
      <c r="E4" s="192"/>
      <c r="F4" s="192"/>
      <c r="G4" s="192"/>
      <c r="H4" s="192"/>
      <c r="I4" s="192"/>
      <c r="J4" s="95" t="s">
        <v>13</v>
      </c>
      <c r="K4" s="96">
        <f>+VIMIVA!J4</f>
        <v>0</v>
      </c>
    </row>
    <row r="5" spans="2:11" ht="19.5" customHeight="1">
      <c r="B5" s="190"/>
      <c r="C5" s="191"/>
      <c r="D5" s="192"/>
      <c r="E5" s="192"/>
      <c r="F5" s="192"/>
      <c r="G5" s="192"/>
      <c r="H5" s="192"/>
      <c r="I5" s="192"/>
      <c r="J5" s="95" t="s">
        <v>14</v>
      </c>
      <c r="K5" s="96">
        <f>+VIMIVA!J5</f>
        <v>0</v>
      </c>
    </row>
    <row r="6" spans="2:11" ht="26.25">
      <c r="F6" s="193" t="s">
        <v>6</v>
      </c>
      <c r="G6" s="193"/>
      <c r="H6" s="193"/>
      <c r="I6" s="193"/>
    </row>
    <row r="7" spans="2:11" ht="17.25" customHeight="1">
      <c r="B7" s="182" t="s">
        <v>22</v>
      </c>
      <c r="C7" s="182"/>
      <c r="D7" s="19" t="s">
        <v>23</v>
      </c>
      <c r="E7" s="183" t="s">
        <v>24</v>
      </c>
      <c r="F7" s="183"/>
      <c r="G7" s="183"/>
      <c r="H7" s="18" t="s">
        <v>25</v>
      </c>
      <c r="I7" s="184" t="s">
        <v>26</v>
      </c>
      <c r="J7" s="184"/>
      <c r="K7" s="184"/>
    </row>
    <row r="8" spans="2:11" ht="23.25" customHeight="1">
      <c r="B8" s="182"/>
      <c r="C8" s="182"/>
      <c r="D8" s="18" t="s">
        <v>27</v>
      </c>
      <c r="E8" s="194" t="s">
        <v>28</v>
      </c>
      <c r="F8" s="194"/>
      <c r="G8" s="194"/>
      <c r="H8" s="76" t="s">
        <v>29</v>
      </c>
      <c r="I8" s="181" t="s">
        <v>30</v>
      </c>
      <c r="J8" s="181"/>
      <c r="K8" s="181"/>
    </row>
    <row r="9" spans="2:11" ht="23.25" customHeight="1">
      <c r="B9" s="182"/>
      <c r="C9" s="182"/>
      <c r="D9" s="18" t="s">
        <v>31</v>
      </c>
      <c r="E9" s="181" t="s">
        <v>32</v>
      </c>
      <c r="F9" s="181"/>
      <c r="G9" s="181"/>
      <c r="H9" s="76" t="s">
        <v>33</v>
      </c>
      <c r="I9" s="181" t="s">
        <v>34</v>
      </c>
      <c r="J9" s="181"/>
      <c r="K9" s="181"/>
    </row>
    <row r="10" spans="2:11" ht="23.25" customHeight="1">
      <c r="B10" s="182"/>
      <c r="C10" s="182"/>
      <c r="D10" s="18" t="s">
        <v>35</v>
      </c>
      <c r="E10" s="194" t="s">
        <v>36</v>
      </c>
      <c r="F10" s="194"/>
      <c r="G10" s="194"/>
      <c r="H10" s="76" t="s">
        <v>37</v>
      </c>
      <c r="I10" s="181" t="s">
        <v>38</v>
      </c>
      <c r="J10" s="181"/>
      <c r="K10" s="181"/>
    </row>
    <row r="11" spans="2:11" ht="23.25" customHeight="1">
      <c r="B11" s="182"/>
      <c r="C11" s="182"/>
      <c r="D11" s="18" t="s">
        <v>39</v>
      </c>
      <c r="E11" s="181" t="s">
        <v>40</v>
      </c>
      <c r="F11" s="181"/>
      <c r="G11" s="181"/>
      <c r="H11" s="76" t="s">
        <v>41</v>
      </c>
      <c r="I11" s="181" t="s">
        <v>42</v>
      </c>
      <c r="J11" s="181"/>
      <c r="K11" s="181"/>
    </row>
    <row r="12" spans="2:11" ht="23.25" customHeight="1">
      <c r="B12" s="182"/>
      <c r="C12" s="182"/>
      <c r="D12" s="18" t="s">
        <v>43</v>
      </c>
      <c r="E12" s="181" t="s">
        <v>44</v>
      </c>
      <c r="F12" s="181"/>
      <c r="G12" s="181"/>
      <c r="H12" s="76" t="s">
        <v>45</v>
      </c>
      <c r="I12" s="181" t="s">
        <v>46</v>
      </c>
      <c r="J12" s="181"/>
      <c r="K12" s="181"/>
    </row>
    <row r="13" spans="2:11" ht="23.25" customHeight="1">
      <c r="B13" s="182" t="s">
        <v>47</v>
      </c>
      <c r="C13" s="182"/>
      <c r="D13" s="19" t="s">
        <v>48</v>
      </c>
      <c r="E13" s="183" t="s">
        <v>49</v>
      </c>
      <c r="F13" s="183"/>
      <c r="G13" s="183"/>
      <c r="H13" s="18" t="s">
        <v>50</v>
      </c>
      <c r="I13" s="184" t="s">
        <v>51</v>
      </c>
      <c r="J13" s="184"/>
      <c r="K13" s="184"/>
    </row>
    <row r="14" spans="2:11" ht="23.25" customHeight="1">
      <c r="B14" s="182"/>
      <c r="C14" s="182"/>
      <c r="D14" s="79" t="s">
        <v>52</v>
      </c>
      <c r="E14" s="185" t="s">
        <v>53</v>
      </c>
      <c r="F14" s="185"/>
      <c r="G14" s="185"/>
      <c r="H14" s="76" t="s">
        <v>54</v>
      </c>
      <c r="I14" s="181" t="s">
        <v>55</v>
      </c>
      <c r="J14" s="181"/>
      <c r="K14" s="181"/>
    </row>
    <row r="15" spans="2:11" ht="29.25" customHeight="1">
      <c r="B15" s="182"/>
      <c r="C15" s="182"/>
      <c r="D15" s="79" t="s">
        <v>56</v>
      </c>
      <c r="E15" s="181" t="s">
        <v>57</v>
      </c>
      <c r="F15" s="185"/>
      <c r="G15" s="185"/>
      <c r="H15" s="76" t="s">
        <v>58</v>
      </c>
      <c r="I15" s="181" t="s">
        <v>59</v>
      </c>
      <c r="J15" s="181"/>
      <c r="K15" s="181"/>
    </row>
    <row r="16" spans="2:11" ht="23.25" customHeight="1">
      <c r="B16" s="182"/>
      <c r="C16" s="182"/>
      <c r="D16" s="79" t="s">
        <v>60</v>
      </c>
      <c r="E16" s="185" t="s">
        <v>61</v>
      </c>
      <c r="F16" s="185"/>
      <c r="G16" s="185"/>
      <c r="H16" s="76" t="s">
        <v>62</v>
      </c>
      <c r="I16" s="181" t="s">
        <v>63</v>
      </c>
      <c r="J16" s="181"/>
      <c r="K16" s="181"/>
    </row>
    <row r="17" spans="2:11" ht="23.25" customHeight="1">
      <c r="B17" s="182"/>
      <c r="C17" s="182"/>
      <c r="D17" s="79" t="s">
        <v>64</v>
      </c>
      <c r="E17" s="185" t="s">
        <v>65</v>
      </c>
      <c r="F17" s="185"/>
      <c r="G17" s="185"/>
      <c r="H17" s="76" t="s">
        <v>66</v>
      </c>
      <c r="I17" s="181" t="s">
        <v>67</v>
      </c>
      <c r="J17" s="181"/>
      <c r="K17" s="181"/>
    </row>
    <row r="18" spans="2:11" ht="23.25" customHeight="1">
      <c r="B18" s="182"/>
      <c r="C18" s="182"/>
      <c r="D18" s="79" t="s">
        <v>68</v>
      </c>
      <c r="E18" s="185" t="s">
        <v>69</v>
      </c>
      <c r="F18" s="185"/>
      <c r="G18" s="185"/>
      <c r="H18" s="76" t="s">
        <v>70</v>
      </c>
      <c r="I18" s="181" t="s">
        <v>71</v>
      </c>
      <c r="J18" s="181"/>
      <c r="K18" s="181"/>
    </row>
    <row r="20" spans="2:11" ht="22.5" customHeight="1">
      <c r="B20" s="198" t="s">
        <v>72</v>
      </c>
      <c r="C20" s="199"/>
      <c r="D20" s="199"/>
      <c r="E20" s="200"/>
      <c r="F20" s="198" t="s">
        <v>73</v>
      </c>
      <c r="G20" s="199"/>
      <c r="H20" s="199"/>
      <c r="I20" s="200"/>
      <c r="J20" s="203" t="s">
        <v>74</v>
      </c>
      <c r="K20" s="203"/>
    </row>
    <row r="21" spans="2:11" ht="22.5" customHeight="1">
      <c r="B21" s="195" t="s">
        <v>75</v>
      </c>
      <c r="C21" s="196"/>
      <c r="D21" s="196"/>
      <c r="E21" s="197"/>
      <c r="F21" s="201" t="s">
        <v>76</v>
      </c>
      <c r="G21" s="196"/>
      <c r="H21" s="196"/>
      <c r="I21" s="197"/>
      <c r="J21" s="202" t="s">
        <v>76</v>
      </c>
      <c r="K21" s="202"/>
    </row>
    <row r="22" spans="2:11" ht="22.5" customHeight="1">
      <c r="B22" s="198" t="s">
        <v>77</v>
      </c>
      <c r="C22" s="199"/>
      <c r="D22" s="199"/>
      <c r="E22" s="200"/>
      <c r="F22" s="198" t="s">
        <v>78</v>
      </c>
      <c r="G22" s="199"/>
      <c r="H22" s="199"/>
      <c r="I22" s="200"/>
      <c r="J22" s="203" t="s">
        <v>78</v>
      </c>
      <c r="K22" s="203"/>
    </row>
    <row r="23" spans="2:11" ht="22.5" customHeight="1">
      <c r="B23" s="198" t="s">
        <v>79</v>
      </c>
      <c r="C23" s="199"/>
      <c r="D23" s="199"/>
      <c r="E23" s="200"/>
      <c r="F23" s="117"/>
      <c r="G23" s="118"/>
      <c r="H23" s="118"/>
      <c r="I23" s="119"/>
      <c r="J23" s="120"/>
      <c r="K23" s="120"/>
    </row>
    <row r="24" spans="2:11" ht="22.5" customHeight="1">
      <c r="B24" s="198" t="s">
        <v>80</v>
      </c>
      <c r="C24" s="199"/>
      <c r="D24" s="199"/>
      <c r="E24" s="200"/>
      <c r="F24" s="117"/>
      <c r="G24" s="118"/>
      <c r="H24" s="118"/>
      <c r="I24" s="119"/>
      <c r="J24" s="120"/>
      <c r="K24" s="120"/>
    </row>
    <row r="25" spans="2:11" ht="22.5" customHeight="1">
      <c r="B25" s="204"/>
      <c r="C25" s="205"/>
      <c r="D25" s="205"/>
      <c r="E25" s="206"/>
      <c r="F25" s="204"/>
      <c r="G25" s="205"/>
      <c r="H25" s="205"/>
      <c r="I25" s="206"/>
      <c r="J25" s="202"/>
      <c r="K25" s="202"/>
    </row>
    <row r="26" spans="2:11" ht="22.5" customHeight="1">
      <c r="B26" s="198" t="s">
        <v>81</v>
      </c>
      <c r="C26" s="199"/>
      <c r="D26" s="199"/>
      <c r="E26" s="200"/>
      <c r="F26" s="198" t="s">
        <v>81</v>
      </c>
      <c r="G26" s="199"/>
      <c r="H26" s="199"/>
      <c r="I26" s="200"/>
      <c r="J26" s="203" t="s">
        <v>81</v>
      </c>
      <c r="K26" s="203"/>
    </row>
    <row r="27" spans="2:11" ht="22.5" customHeight="1">
      <c r="B27" s="207"/>
      <c r="C27" s="208"/>
      <c r="D27" s="208"/>
      <c r="E27" s="209"/>
      <c r="F27" s="207"/>
      <c r="G27" s="208"/>
      <c r="H27" s="208"/>
      <c r="I27" s="209"/>
      <c r="J27" s="210"/>
      <c r="K27" s="210"/>
    </row>
    <row r="28" spans="2:11" ht="15.75">
      <c r="B28" s="24"/>
      <c r="C28" s="24"/>
      <c r="D28" s="24"/>
      <c r="E28" s="24"/>
      <c r="F28" s="24"/>
      <c r="G28" s="24"/>
      <c r="H28" s="24"/>
    </row>
    <row r="29" spans="2:11" ht="15.75">
      <c r="B29" s="24"/>
      <c r="C29" s="24"/>
      <c r="D29" s="24"/>
      <c r="E29" s="24"/>
      <c r="F29" s="24"/>
      <c r="G29" s="24"/>
      <c r="H29" s="24"/>
    </row>
    <row r="31" spans="2:11" ht="15.75">
      <c r="G31" s="15"/>
      <c r="H31" s="21"/>
    </row>
    <row r="32" spans="2:11" ht="15.75">
      <c r="G32" s="15"/>
      <c r="H32" s="21"/>
    </row>
  </sheetData>
  <mergeCells count="50">
    <mergeCell ref="B26:E26"/>
    <mergeCell ref="F26:I26"/>
    <mergeCell ref="J26:K26"/>
    <mergeCell ref="B27:E27"/>
    <mergeCell ref="F27:I27"/>
    <mergeCell ref="J27:K27"/>
    <mergeCell ref="B22:E22"/>
    <mergeCell ref="F22:I22"/>
    <mergeCell ref="J22:K22"/>
    <mergeCell ref="B25:E25"/>
    <mergeCell ref="F25:I25"/>
    <mergeCell ref="J25:K25"/>
    <mergeCell ref="B23:E23"/>
    <mergeCell ref="B24:E24"/>
    <mergeCell ref="B21:E21"/>
    <mergeCell ref="B20:E20"/>
    <mergeCell ref="F20:I20"/>
    <mergeCell ref="F21:I21"/>
    <mergeCell ref="J21:K21"/>
    <mergeCell ref="J20:K20"/>
    <mergeCell ref="E7:G7"/>
    <mergeCell ref="I7:K7"/>
    <mergeCell ref="I12:K12"/>
    <mergeCell ref="B7:C12"/>
    <mergeCell ref="B2:C5"/>
    <mergeCell ref="D4:I5"/>
    <mergeCell ref="D2:I3"/>
    <mergeCell ref="F6:I6"/>
    <mergeCell ref="E8:G8"/>
    <mergeCell ref="E9:G9"/>
    <mergeCell ref="E10:G10"/>
    <mergeCell ref="E11:G11"/>
    <mergeCell ref="E12:G12"/>
    <mergeCell ref="I8:K8"/>
    <mergeCell ref="I9:K9"/>
    <mergeCell ref="I10:K10"/>
    <mergeCell ref="I11:K11"/>
    <mergeCell ref="B13:C18"/>
    <mergeCell ref="E13:G13"/>
    <mergeCell ref="I13:K13"/>
    <mergeCell ref="E14:G14"/>
    <mergeCell ref="E15:G15"/>
    <mergeCell ref="E16:G16"/>
    <mergeCell ref="E17:G17"/>
    <mergeCell ref="E18:G18"/>
    <mergeCell ref="I14:K14"/>
    <mergeCell ref="I15:K15"/>
    <mergeCell ref="I16:K16"/>
    <mergeCell ref="I17:K17"/>
    <mergeCell ref="I18:K18"/>
  </mergeCells>
  <phoneticPr fontId="2" type="noConversion"/>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A32"/>
  <sheetViews>
    <sheetView showGridLines="0" topLeftCell="A12" zoomScaleNormal="100" workbookViewId="0">
      <selection activeCell="G30" sqref="G30"/>
    </sheetView>
  </sheetViews>
  <sheetFormatPr defaultColWidth="11.42578125" defaultRowHeight="15"/>
  <cols>
    <col min="1" max="1" width="3.28515625" customWidth="1"/>
    <col min="2" max="2" width="21.140625" customWidth="1"/>
    <col min="3" max="3" width="14.5703125" customWidth="1"/>
    <col min="4" max="4" width="7.140625" customWidth="1"/>
    <col min="5" max="5" width="47.140625" bestFit="1" customWidth="1"/>
    <col min="6" max="6" width="17.28515625" style="1" customWidth="1"/>
    <col min="7" max="7" width="14.42578125" style="1" customWidth="1"/>
    <col min="8" max="8" width="13.5703125" style="1" bestFit="1" customWidth="1"/>
    <col min="9" max="9" width="11" style="1" bestFit="1" customWidth="1"/>
    <col min="10" max="10" width="4.42578125" customWidth="1"/>
    <col min="11" max="11" width="15.85546875" bestFit="1" customWidth="1"/>
    <col min="12" max="12" width="15.85546875" style="1" bestFit="1" customWidth="1"/>
    <col min="13" max="13" width="12.28515625" style="1" bestFit="1" customWidth="1"/>
    <col min="14" max="14" width="13.5703125" style="1" bestFit="1" customWidth="1"/>
    <col min="15" max="15" width="13.85546875" style="1" bestFit="1" customWidth="1"/>
    <col min="16" max="23" width="5.140625" customWidth="1"/>
    <col min="24" max="24" width="15.42578125" bestFit="1" customWidth="1"/>
    <col min="25" max="25" width="14.7109375" customWidth="1"/>
    <col min="27" max="27" width="13" bestFit="1" customWidth="1"/>
  </cols>
  <sheetData>
    <row r="1" spans="2:27" ht="6.75" customHeight="1">
      <c r="I1"/>
    </row>
    <row r="2" spans="2:27" ht="16.5" customHeight="1">
      <c r="B2" s="215"/>
      <c r="C2" s="218" t="str">
        <f>+VIMIVA!D2</f>
        <v>ARCDATA</v>
      </c>
      <c r="D2" s="219"/>
      <c r="E2" s="220"/>
      <c r="F2" s="224" t="s">
        <v>11</v>
      </c>
      <c r="G2" s="224"/>
      <c r="H2" s="211">
        <f>+VIMIVA!L2</f>
        <v>0</v>
      </c>
      <c r="I2" s="212"/>
    </row>
    <row r="3" spans="2:27" ht="16.5" customHeight="1">
      <c r="B3" s="216"/>
      <c r="C3" s="221"/>
      <c r="D3" s="222"/>
      <c r="E3" s="223"/>
      <c r="F3" s="224" t="s">
        <v>82</v>
      </c>
      <c r="G3" s="224"/>
      <c r="H3" s="98">
        <f>+VIMIVA!L3</f>
        <v>0</v>
      </c>
      <c r="I3" s="99"/>
    </row>
    <row r="4" spans="2:27" ht="16.5" customHeight="1">
      <c r="B4" s="216"/>
      <c r="C4" s="218" t="s">
        <v>21</v>
      </c>
      <c r="D4" s="219"/>
      <c r="E4" s="220"/>
      <c r="F4" s="224" t="s">
        <v>13</v>
      </c>
      <c r="G4" s="224"/>
      <c r="H4" s="98">
        <f>1+'ESTRATEGIAS '!L4</f>
        <v>1</v>
      </c>
      <c r="I4" s="99"/>
    </row>
    <row r="5" spans="2:27" ht="16.5" customHeight="1">
      <c r="B5" s="217"/>
      <c r="C5" s="221"/>
      <c r="D5" s="222"/>
      <c r="E5" s="223"/>
      <c r="F5" s="224" t="s">
        <v>14</v>
      </c>
      <c r="G5" s="224"/>
      <c r="H5" s="213">
        <f>+VIMIVA!L5</f>
        <v>0</v>
      </c>
      <c r="I5" s="214"/>
    </row>
    <row r="6" spans="2:27" ht="8.25" customHeight="1">
      <c r="C6" s="38"/>
      <c r="D6" s="38"/>
      <c r="E6" s="38"/>
      <c r="F6" s="39"/>
      <c r="G6" s="39"/>
      <c r="H6" s="39"/>
      <c r="I6"/>
    </row>
    <row r="7" spans="2:27" ht="18">
      <c r="B7" s="3" t="s">
        <v>83</v>
      </c>
      <c r="I7"/>
    </row>
    <row r="8" spans="2:27" ht="17.25">
      <c r="B8" s="7" t="s">
        <v>84</v>
      </c>
      <c r="C8" s="7" t="s">
        <v>85</v>
      </c>
      <c r="D8" s="7" t="s">
        <v>2</v>
      </c>
      <c r="E8" s="7" t="s">
        <v>86</v>
      </c>
      <c r="F8" s="7" t="s">
        <v>87</v>
      </c>
      <c r="G8" s="7" t="s">
        <v>88</v>
      </c>
      <c r="H8" s="7" t="s">
        <v>89</v>
      </c>
      <c r="I8" s="7" t="s">
        <v>90</v>
      </c>
      <c r="K8" s="36" t="s">
        <v>91</v>
      </c>
      <c r="L8" s="36" t="s">
        <v>87</v>
      </c>
      <c r="M8" s="36" t="s">
        <v>88</v>
      </c>
      <c r="N8" s="36" t="s">
        <v>89</v>
      </c>
      <c r="O8" s="36" t="s">
        <v>92</v>
      </c>
      <c r="X8" s="6" t="s">
        <v>87</v>
      </c>
      <c r="Y8" s="6" t="s">
        <v>93</v>
      </c>
      <c r="Z8" s="6" t="s">
        <v>89</v>
      </c>
      <c r="AA8" s="7" t="s">
        <v>92</v>
      </c>
    </row>
    <row r="9" spans="2:27" ht="15.95" customHeight="1">
      <c r="B9" s="75" t="s">
        <v>94</v>
      </c>
      <c r="C9" s="75" t="s">
        <v>95</v>
      </c>
      <c r="D9" s="76" t="str">
        <f>+FODA!D8</f>
        <v>F1</v>
      </c>
      <c r="E9" s="121" t="str">
        <f>+FODA!E8</f>
        <v>Desarrollo intuitivo con nuevas inteligencias disrruptivas</v>
      </c>
      <c r="F9" s="80" t="s">
        <v>96</v>
      </c>
      <c r="G9" s="80" t="s">
        <v>97</v>
      </c>
      <c r="H9" s="80" t="s">
        <v>98</v>
      </c>
      <c r="I9" s="76">
        <f t="shared" ref="I9:I18" si="0">+IF(F9=$L$9,1,IF(F9=$L$10,2,IF(F9=$L$11,3,IF(F9=$L$12,4,IF(F9=$L$13,5,0)))))*IF(G9=$M$9,1,IF(G9=$M$10,2,IF(G9=$M$11,3,IF(G9=$M$12,4,IF(G9=$M$13,5,0)))))*IF(H9=$N$9,1,IF(H9=$N$10,2,IF(H9=$N$11,3,IF(H9=$N$12,4,IF(H9=$N$13,5,0)))))</f>
        <v>27</v>
      </c>
      <c r="K9" s="8">
        <v>1</v>
      </c>
      <c r="L9" s="4" t="s">
        <v>99</v>
      </c>
      <c r="M9" s="1" t="s">
        <v>100</v>
      </c>
      <c r="N9" s="4" t="s">
        <v>101</v>
      </c>
      <c r="O9" s="4" t="s">
        <v>102</v>
      </c>
      <c r="X9" s="5" t="s">
        <v>99</v>
      </c>
      <c r="Y9" s="5" t="s">
        <v>103</v>
      </c>
      <c r="Z9" s="5" t="s">
        <v>104</v>
      </c>
      <c r="AA9" s="5" t="s">
        <v>105</v>
      </c>
    </row>
    <row r="10" spans="2:27" ht="15.95" customHeight="1">
      <c r="B10" s="75" t="s">
        <v>94</v>
      </c>
      <c r="C10" s="75" t="s">
        <v>95</v>
      </c>
      <c r="D10" s="76" t="str">
        <f>+FODA!D9</f>
        <v>F2</v>
      </c>
      <c r="E10" s="77" t="str">
        <f>+FODA!E9</f>
        <v>soluciones innovadoras</v>
      </c>
      <c r="F10" s="80" t="s">
        <v>106</v>
      </c>
      <c r="G10" s="80" t="s">
        <v>97</v>
      </c>
      <c r="H10" s="80" t="s">
        <v>98</v>
      </c>
      <c r="I10" s="76">
        <f t="shared" si="0"/>
        <v>36</v>
      </c>
      <c r="K10" s="9">
        <v>2</v>
      </c>
      <c r="L10" s="43" t="s">
        <v>107</v>
      </c>
      <c r="M10" s="4" t="s">
        <v>103</v>
      </c>
      <c r="N10" s="4" t="s">
        <v>108</v>
      </c>
      <c r="O10" s="4" t="s">
        <v>109</v>
      </c>
      <c r="X10" s="5" t="s">
        <v>96</v>
      </c>
      <c r="Y10" s="5" t="s">
        <v>110</v>
      </c>
      <c r="Z10" s="5" t="s">
        <v>111</v>
      </c>
      <c r="AA10" s="5" t="s">
        <v>112</v>
      </c>
    </row>
    <row r="11" spans="2:27" ht="15.95" customHeight="1">
      <c r="B11" s="75" t="s">
        <v>94</v>
      </c>
      <c r="C11" s="75" t="s">
        <v>95</v>
      </c>
      <c r="D11" s="76" t="str">
        <f>+FODA!D10</f>
        <v>F3</v>
      </c>
      <c r="E11" s="121" t="str">
        <f>+FODA!E10</f>
        <v>mejorar el servicio de atencion a personas discapacitadas</v>
      </c>
      <c r="F11" s="80" t="s">
        <v>106</v>
      </c>
      <c r="G11" s="80" t="s">
        <v>113</v>
      </c>
      <c r="H11" s="80" t="s">
        <v>114</v>
      </c>
      <c r="I11" s="76">
        <f t="shared" si="0"/>
        <v>100</v>
      </c>
      <c r="K11" s="10">
        <v>3</v>
      </c>
      <c r="L11" s="4" t="s">
        <v>96</v>
      </c>
      <c r="M11" s="1" t="s">
        <v>97</v>
      </c>
      <c r="N11" s="4" t="s">
        <v>98</v>
      </c>
      <c r="O11" s="4" t="s">
        <v>115</v>
      </c>
      <c r="X11" s="5" t="s">
        <v>106</v>
      </c>
      <c r="Y11" s="5" t="s">
        <v>113</v>
      </c>
      <c r="Z11" s="5" t="s">
        <v>116</v>
      </c>
      <c r="AA11" s="5" t="s">
        <v>117</v>
      </c>
    </row>
    <row r="12" spans="2:27" ht="15.95" customHeight="1">
      <c r="B12" s="75" t="s">
        <v>94</v>
      </c>
      <c r="C12" s="75" t="s">
        <v>95</v>
      </c>
      <c r="D12" s="76" t="str">
        <f>+FODA!D11</f>
        <v>F4</v>
      </c>
      <c r="E12" s="121" t="str">
        <f>+FODA!E11</f>
        <v>manejamos precios competitivos con calidad y servicio</v>
      </c>
      <c r="F12" s="80" t="s">
        <v>96</v>
      </c>
      <c r="G12" s="80" t="s">
        <v>97</v>
      </c>
      <c r="H12" s="80" t="s">
        <v>98</v>
      </c>
      <c r="I12" s="76">
        <f t="shared" si="0"/>
        <v>27</v>
      </c>
      <c r="K12" s="4">
        <v>4</v>
      </c>
      <c r="L12" s="4" t="s">
        <v>106</v>
      </c>
      <c r="M12" s="4" t="s">
        <v>110</v>
      </c>
      <c r="N12" s="4" t="s">
        <v>111</v>
      </c>
      <c r="O12" s="4" t="s">
        <v>118</v>
      </c>
    </row>
    <row r="13" spans="2:27" ht="15.95" customHeight="1">
      <c r="B13" s="75" t="s">
        <v>94</v>
      </c>
      <c r="C13" s="75" t="s">
        <v>95</v>
      </c>
      <c r="D13" s="76" t="str">
        <f>+FODA!D12</f>
        <v>F5</v>
      </c>
      <c r="E13" s="77" t="str">
        <f>+FODA!E12</f>
        <v xml:space="preserve">manejo de informacion en una sola plataforma </v>
      </c>
      <c r="F13" s="80" t="s">
        <v>96</v>
      </c>
      <c r="G13" s="80" t="s">
        <v>110</v>
      </c>
      <c r="H13" s="80" t="s">
        <v>111</v>
      </c>
      <c r="I13" s="76">
        <f t="shared" si="0"/>
        <v>48</v>
      </c>
      <c r="K13" s="4">
        <v>5</v>
      </c>
      <c r="L13" s="4" t="s">
        <v>119</v>
      </c>
      <c r="M13" s="4" t="s">
        <v>113</v>
      </c>
      <c r="N13" s="4" t="s">
        <v>114</v>
      </c>
      <c r="O13" s="4" t="s">
        <v>117</v>
      </c>
    </row>
    <row r="14" spans="2:27" ht="15.95" customHeight="1">
      <c r="B14" s="75" t="s">
        <v>94</v>
      </c>
      <c r="C14" s="75" t="s">
        <v>120</v>
      </c>
      <c r="D14" s="78" t="str">
        <f>+FODA!H8</f>
        <v>D1</v>
      </c>
      <c r="E14" s="79" t="str">
        <f>+FODA!I8</f>
        <v xml:space="preserve">Falta de personal </v>
      </c>
      <c r="F14" s="80" t="s">
        <v>107</v>
      </c>
      <c r="G14" s="80" t="s">
        <v>103</v>
      </c>
      <c r="H14" s="80" t="s">
        <v>98</v>
      </c>
      <c r="I14" s="76">
        <f t="shared" si="0"/>
        <v>12</v>
      </c>
    </row>
    <row r="15" spans="2:27" ht="15.95" customHeight="1">
      <c r="B15" s="75" t="s">
        <v>94</v>
      </c>
      <c r="C15" s="75" t="s">
        <v>120</v>
      </c>
      <c r="D15" s="78" t="str">
        <f>+FODA!H9</f>
        <v>D2</v>
      </c>
      <c r="E15" s="79" t="str">
        <f>+FODA!I9</f>
        <v xml:space="preserve">musculo financiero </v>
      </c>
      <c r="F15" s="80" t="s">
        <v>96</v>
      </c>
      <c r="G15" s="80" t="s">
        <v>97</v>
      </c>
      <c r="H15" s="80" t="s">
        <v>111</v>
      </c>
      <c r="I15" s="76">
        <f t="shared" si="0"/>
        <v>36</v>
      </c>
    </row>
    <row r="16" spans="2:27" ht="15.95" customHeight="1">
      <c r="B16" s="75" t="s">
        <v>94</v>
      </c>
      <c r="C16" s="75" t="s">
        <v>120</v>
      </c>
      <c r="D16" s="78" t="str">
        <f>+FODA!H10</f>
        <v>D3</v>
      </c>
      <c r="E16" s="79" t="str">
        <f>+FODA!I10</f>
        <v>posisionamiento en el mercado</v>
      </c>
      <c r="F16" s="80" t="s">
        <v>96</v>
      </c>
      <c r="G16" s="80" t="s">
        <v>97</v>
      </c>
      <c r="H16" s="80" t="s">
        <v>111</v>
      </c>
      <c r="I16" s="76">
        <f t="shared" si="0"/>
        <v>36</v>
      </c>
    </row>
    <row r="17" spans="2:13" ht="15.95" customHeight="1">
      <c r="B17" s="75" t="s">
        <v>94</v>
      </c>
      <c r="C17" s="75" t="s">
        <v>120</v>
      </c>
      <c r="D17" s="78" t="str">
        <f>+FODA!H11</f>
        <v>D4</v>
      </c>
      <c r="E17" s="79" t="str">
        <f>+FODA!I11</f>
        <v>tiempo de trabajo del stayholder</v>
      </c>
      <c r="F17" s="80" t="s">
        <v>107</v>
      </c>
      <c r="G17" s="80" t="s">
        <v>97</v>
      </c>
      <c r="H17" s="80" t="s">
        <v>98</v>
      </c>
      <c r="I17" s="76">
        <f t="shared" si="0"/>
        <v>18</v>
      </c>
    </row>
    <row r="18" spans="2:13" ht="15.95" customHeight="1">
      <c r="B18" s="75" t="s">
        <v>94</v>
      </c>
      <c r="C18" s="75" t="s">
        <v>120</v>
      </c>
      <c r="D18" s="78" t="str">
        <f>+FODA!H12</f>
        <v>D5</v>
      </c>
      <c r="E18" s="79" t="str">
        <f>+FODA!I12</f>
        <v>manejo de herramientas  interactivas</v>
      </c>
      <c r="F18" s="80" t="s">
        <v>96</v>
      </c>
      <c r="G18" s="80" t="s">
        <v>97</v>
      </c>
      <c r="H18" s="80" t="s">
        <v>98</v>
      </c>
      <c r="I18" s="76">
        <f t="shared" si="0"/>
        <v>27</v>
      </c>
    </row>
    <row r="19" spans="2:13" ht="15.95" customHeight="1">
      <c r="F19"/>
      <c r="G19"/>
      <c r="H19"/>
      <c r="I19"/>
    </row>
    <row r="20" spans="2:13" ht="15.95" customHeight="1">
      <c r="B20" s="3" t="s">
        <v>121</v>
      </c>
      <c r="F20"/>
      <c r="G20"/>
      <c r="H20"/>
      <c r="I20"/>
    </row>
    <row r="21" spans="2:13" ht="15.95" customHeight="1">
      <c r="B21" s="7" t="s">
        <v>84</v>
      </c>
      <c r="C21" s="7" t="s">
        <v>85</v>
      </c>
      <c r="D21" s="7" t="s">
        <v>2</v>
      </c>
      <c r="E21" s="7" t="s">
        <v>86</v>
      </c>
      <c r="F21" s="7" t="s">
        <v>87</v>
      </c>
      <c r="G21" s="7" t="s">
        <v>92</v>
      </c>
      <c r="H21" s="7" t="s">
        <v>89</v>
      </c>
      <c r="I21" s="7" t="s">
        <v>90</v>
      </c>
      <c r="K21" s="50" t="s">
        <v>122</v>
      </c>
      <c r="L21" s="50" t="s">
        <v>123</v>
      </c>
      <c r="M21" s="50" t="s">
        <v>124</v>
      </c>
    </row>
    <row r="22" spans="2:13">
      <c r="B22" s="75" t="s">
        <v>125</v>
      </c>
      <c r="C22" s="75" t="s">
        <v>126</v>
      </c>
      <c r="D22" s="76" t="str">
        <f>+FODA!D14</f>
        <v>O1</v>
      </c>
      <c r="E22" s="77" t="str">
        <f>+FODA!E14</f>
        <v>mercado en que se va a generar el proyecto</v>
      </c>
      <c r="F22" s="80" t="s">
        <v>96</v>
      </c>
      <c r="G22" s="80" t="s">
        <v>109</v>
      </c>
      <c r="H22" s="80" t="s">
        <v>111</v>
      </c>
      <c r="I22" s="76">
        <f t="shared" ref="I22:I31" si="1">+IF(F22=$L$9,1,IF(F22=$L$10,2,IF(F22=$L$11,3,IF(F22=$L$12,4,IF(F22=$L$13,5,0)))))*IF(G22=$O$9,1,IF(G22=$O$10,2,IF(G22=$O$11,3,IF(G22=$O$12,4,IF(G22=$O$13,5,0)))))*IF(H22=$N$9,1,IF(H22=$N$10,2,IF(H22=$N$11,3,IF(H22=$N$12,4,IF(H22=$N$13,5,0)))))</f>
        <v>24</v>
      </c>
      <c r="K22" s="11" t="s">
        <v>95</v>
      </c>
      <c r="L22" s="4">
        <f>+SUM(I9:I13)</f>
        <v>238</v>
      </c>
      <c r="M22" s="51">
        <f>+L22/$L$26</f>
        <v>0.3300970873786408</v>
      </c>
    </row>
    <row r="23" spans="2:13">
      <c r="B23" s="75" t="s">
        <v>125</v>
      </c>
      <c r="C23" s="75" t="s">
        <v>126</v>
      </c>
      <c r="D23" s="76" t="str">
        <f>+FODA!D15</f>
        <v>O2</v>
      </c>
      <c r="E23" s="77" t="str">
        <f>+FODA!E15</f>
        <v xml:space="preserve">generar tendencia en el producto desarrolado </v>
      </c>
      <c r="F23" s="80" t="s">
        <v>96</v>
      </c>
      <c r="G23" s="80" t="s">
        <v>115</v>
      </c>
      <c r="H23" s="80" t="s">
        <v>111</v>
      </c>
      <c r="I23" s="76">
        <f t="shared" si="1"/>
        <v>36</v>
      </c>
      <c r="K23" s="12" t="s">
        <v>120</v>
      </c>
      <c r="L23" s="4">
        <f>+SUM(I14:I18)</f>
        <v>129</v>
      </c>
      <c r="M23" s="51">
        <f>+L23/$L$26</f>
        <v>0.17891816920943135</v>
      </c>
    </row>
    <row r="24" spans="2:13">
      <c r="B24" s="75" t="s">
        <v>125</v>
      </c>
      <c r="C24" s="75" t="s">
        <v>126</v>
      </c>
      <c r="D24" s="76" t="str">
        <f>+FODA!D16</f>
        <v>O3</v>
      </c>
      <c r="E24" s="77" t="str">
        <f>+FODA!E16</f>
        <v>escalabilidad aplicación web</v>
      </c>
      <c r="F24" s="80" t="s">
        <v>96</v>
      </c>
      <c r="G24" s="80" t="s">
        <v>109</v>
      </c>
      <c r="H24" s="80" t="s">
        <v>98</v>
      </c>
      <c r="I24" s="76">
        <f t="shared" si="1"/>
        <v>18</v>
      </c>
      <c r="K24" s="13" t="s">
        <v>126</v>
      </c>
      <c r="L24" s="4">
        <f>+SUM(I22:I26)</f>
        <v>150</v>
      </c>
      <c r="M24" s="51">
        <f>+L24/$L$26</f>
        <v>0.20804438280166435</v>
      </c>
    </row>
    <row r="25" spans="2:13">
      <c r="B25" s="75" t="s">
        <v>125</v>
      </c>
      <c r="C25" s="75" t="s">
        <v>126</v>
      </c>
      <c r="D25" s="76" t="str">
        <f>+FODA!D17</f>
        <v>O4</v>
      </c>
      <c r="E25" s="77" t="str">
        <f>+FODA!E17</f>
        <v>calidad en el servicio atraves de las pqrs</v>
      </c>
      <c r="F25" s="80" t="s">
        <v>106</v>
      </c>
      <c r="G25" s="80" t="s">
        <v>115</v>
      </c>
      <c r="H25" s="80" t="s">
        <v>111</v>
      </c>
      <c r="I25" s="76">
        <f t="shared" si="1"/>
        <v>48</v>
      </c>
      <c r="K25" s="14" t="s">
        <v>127</v>
      </c>
      <c r="L25" s="4">
        <f>+SUM(I27:I31)</f>
        <v>204</v>
      </c>
      <c r="M25" s="51">
        <f>+L25/$L$26</f>
        <v>0.28294036061026351</v>
      </c>
    </row>
    <row r="26" spans="2:13">
      <c r="B26" s="75" t="s">
        <v>125</v>
      </c>
      <c r="C26" s="75" t="s">
        <v>126</v>
      </c>
      <c r="D26" s="76" t="str">
        <f>+FODA!D18</f>
        <v>O5</v>
      </c>
      <c r="E26" s="77" t="str">
        <f>+FODA!E18</f>
        <v>Desarrollor evolutivos</v>
      </c>
      <c r="F26" s="80" t="s">
        <v>96</v>
      </c>
      <c r="G26" s="80" t="s">
        <v>109</v>
      </c>
      <c r="H26" s="80" t="s">
        <v>111</v>
      </c>
      <c r="I26" s="76">
        <f t="shared" si="1"/>
        <v>24</v>
      </c>
      <c r="K26" s="69" t="s">
        <v>128</v>
      </c>
      <c r="L26" s="50">
        <f>SUM(L22:L25)</f>
        <v>721</v>
      </c>
    </row>
    <row r="27" spans="2:13">
      <c r="B27" s="75" t="s">
        <v>125</v>
      </c>
      <c r="C27" s="75" t="s">
        <v>127</v>
      </c>
      <c r="D27" s="78" t="str">
        <f>+FODA!H14</f>
        <v>A1</v>
      </c>
      <c r="E27" s="79" t="str">
        <f>+FODA!I14</f>
        <v>tendencia al incremento de app</v>
      </c>
      <c r="F27" s="80" t="s">
        <v>96</v>
      </c>
      <c r="G27" s="80" t="s">
        <v>102</v>
      </c>
      <c r="H27" s="80" t="s">
        <v>98</v>
      </c>
      <c r="I27" s="76">
        <f t="shared" si="1"/>
        <v>9</v>
      </c>
    </row>
    <row r="28" spans="2:13">
      <c r="B28" s="75" t="s">
        <v>125</v>
      </c>
      <c r="C28" s="75" t="s">
        <v>127</v>
      </c>
      <c r="D28" s="78" t="str">
        <f>+FODA!H15</f>
        <v>A2</v>
      </c>
      <c r="E28" s="79" t="str">
        <f>+FODA!I15</f>
        <v>disponibilidad de internet</v>
      </c>
      <c r="F28" s="80" t="s">
        <v>96</v>
      </c>
      <c r="G28" s="80" t="s">
        <v>109</v>
      </c>
      <c r="H28" s="80" t="s">
        <v>111</v>
      </c>
      <c r="I28" s="76">
        <f t="shared" si="1"/>
        <v>24</v>
      </c>
    </row>
    <row r="29" spans="2:13">
      <c r="B29" s="75" t="s">
        <v>125</v>
      </c>
      <c r="C29" s="75" t="s">
        <v>127</v>
      </c>
      <c r="D29" s="78" t="str">
        <f>+FODA!H16</f>
        <v>A3</v>
      </c>
      <c r="E29" s="79" t="str">
        <f>+FODA!I16</f>
        <v>fallo en los servidor</v>
      </c>
      <c r="F29" s="80" t="s">
        <v>96</v>
      </c>
      <c r="G29" s="80" t="s">
        <v>118</v>
      </c>
      <c r="H29" s="80" t="s">
        <v>98</v>
      </c>
      <c r="I29" s="76">
        <f t="shared" si="1"/>
        <v>36</v>
      </c>
    </row>
    <row r="30" spans="2:13">
      <c r="B30" s="75" t="s">
        <v>125</v>
      </c>
      <c r="C30" s="75" t="s">
        <v>127</v>
      </c>
      <c r="D30" s="78" t="str">
        <f>+FODA!H17</f>
        <v>A4</v>
      </c>
      <c r="E30" s="79" t="str">
        <f>+FODA!I17</f>
        <v>cambio en el sistema de salud</v>
      </c>
      <c r="F30" s="80" t="s">
        <v>119</v>
      </c>
      <c r="G30" s="80" t="s">
        <v>118</v>
      </c>
      <c r="H30" s="80" t="s">
        <v>98</v>
      </c>
      <c r="I30" s="76">
        <f t="shared" si="1"/>
        <v>60</v>
      </c>
    </row>
    <row r="31" spans="2:13">
      <c r="B31" s="75" t="s">
        <v>125</v>
      </c>
      <c r="C31" s="75" t="s">
        <v>127</v>
      </c>
      <c r="D31" s="78" t="str">
        <f>+FODA!H18</f>
        <v>A5</v>
      </c>
      <c r="E31" s="79" t="str">
        <f>+FODA!I18</f>
        <v>fallo en las actualizaciones de los sistemas operativos</v>
      </c>
      <c r="F31" s="80" t="s">
        <v>119</v>
      </c>
      <c r="G31" s="80" t="s">
        <v>117</v>
      </c>
      <c r="H31" s="80" t="s">
        <v>98</v>
      </c>
      <c r="I31" s="76">
        <f t="shared" si="1"/>
        <v>75</v>
      </c>
    </row>
    <row r="32" spans="2:13" ht="15.95" customHeight="1">
      <c r="F32"/>
      <c r="G32"/>
      <c r="H32"/>
      <c r="I32"/>
    </row>
  </sheetData>
  <mergeCells count="9">
    <mergeCell ref="H2:I2"/>
    <mergeCell ref="H5:I5"/>
    <mergeCell ref="B2:B5"/>
    <mergeCell ref="C2:E3"/>
    <mergeCell ref="C4:E5"/>
    <mergeCell ref="F2:G2"/>
    <mergeCell ref="F3:G3"/>
    <mergeCell ref="F4:G4"/>
    <mergeCell ref="F5:G5"/>
  </mergeCells>
  <dataValidations count="4">
    <dataValidation type="list" allowBlank="1" showInputMessage="1" showErrorMessage="1" sqref="F9:F18 F22:F31" xr:uid="{65E33F8A-0C63-49A8-9BC2-8C41C2D40612}">
      <formula1>$L$9:$L$13</formula1>
    </dataValidation>
    <dataValidation type="list" allowBlank="1" showInputMessage="1" showErrorMessage="1" sqref="G9:G18" xr:uid="{A520A8A5-15CA-436B-960D-00321FB2AA3D}">
      <formula1>$M$9:$M$13</formula1>
    </dataValidation>
    <dataValidation type="list" allowBlank="1" showInputMessage="1" showErrorMessage="1" sqref="H9:H18 H22:H31" xr:uid="{0A52DF29-CA73-4891-9559-F7A5B387B44C}">
      <formula1>$N$9:$N$13</formula1>
    </dataValidation>
    <dataValidation type="list" allowBlank="1" showInputMessage="1" showErrorMessage="1" sqref="G22:G31" xr:uid="{ED38B933-7BA2-406A-8EE1-E53370C29BA2}">
      <formula1>$O$9:$O$13</formula1>
    </dataValidation>
  </dataValidations>
  <pageMargins left="0.75" right="0.75" top="1" bottom="1" header="0.3" footer="0.3"/>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
  <sheetViews>
    <sheetView showGridLines="0" zoomScale="70" zoomScaleNormal="70" workbookViewId="0">
      <selection activeCell="J6" sqref="J6"/>
    </sheetView>
  </sheetViews>
  <sheetFormatPr defaultColWidth="11.42578125" defaultRowHeight="15"/>
  <cols>
    <col min="1" max="1" width="4.42578125" customWidth="1"/>
    <col min="2" max="2" width="4.28515625" customWidth="1"/>
    <col min="3" max="3" width="53.7109375" customWidth="1"/>
    <col min="4" max="4" width="10.42578125" style="1" customWidth="1"/>
    <col min="5" max="5" width="26" customWidth="1"/>
    <col min="6" max="6" width="28.7109375" customWidth="1"/>
    <col min="7" max="7" width="31.85546875" customWidth="1"/>
    <col min="8" max="8" width="11.85546875" style="1" customWidth="1"/>
    <col min="9" max="9" width="24.5703125" customWidth="1"/>
    <col min="10" max="10" width="35.28515625" customWidth="1"/>
    <col min="11" max="11" width="21.140625" customWidth="1"/>
  </cols>
  <sheetData>
    <row r="1" spans="1:14" s="2" customFormat="1" ht="21">
      <c r="A1"/>
      <c r="B1"/>
      <c r="C1"/>
      <c r="D1" s="1"/>
      <c r="E1"/>
      <c r="F1"/>
      <c r="G1"/>
      <c r="H1" s="1"/>
      <c r="I1"/>
      <c r="J1"/>
      <c r="K1"/>
      <c r="L1"/>
      <c r="M1"/>
      <c r="N1"/>
    </row>
    <row r="2" spans="1:14" s="2" customFormat="1" ht="21" customHeight="1">
      <c r="A2"/>
      <c r="B2" s="257"/>
      <c r="C2" s="258"/>
      <c r="D2" s="255" t="str">
        <f>+VIMIVA!D2</f>
        <v>ARCDATA</v>
      </c>
      <c r="E2" s="255"/>
      <c r="F2" s="255"/>
      <c r="G2" s="255"/>
      <c r="H2" s="255"/>
      <c r="I2" s="97" t="s">
        <v>11</v>
      </c>
      <c r="J2" s="211">
        <f>+VIMIVA!N2</f>
        <v>0</v>
      </c>
      <c r="K2" s="212"/>
    </row>
    <row r="3" spans="1:14" s="2" customFormat="1" ht="21" customHeight="1">
      <c r="A3"/>
      <c r="B3" s="259"/>
      <c r="C3" s="260"/>
      <c r="D3" s="255"/>
      <c r="E3" s="255"/>
      <c r="F3" s="255"/>
      <c r="G3" s="255"/>
      <c r="H3" s="255"/>
      <c r="I3" s="97" t="s">
        <v>129</v>
      </c>
      <c r="J3" s="114">
        <f>+VIMIVA!N3</f>
        <v>0</v>
      </c>
      <c r="K3" s="115"/>
    </row>
    <row r="4" spans="1:14" s="2" customFormat="1" ht="21" customHeight="1">
      <c r="A4"/>
      <c r="B4" s="259"/>
      <c r="C4" s="260"/>
      <c r="D4" s="255" t="s">
        <v>21</v>
      </c>
      <c r="E4" s="255"/>
      <c r="F4" s="255"/>
      <c r="G4" s="255"/>
      <c r="H4" s="255"/>
      <c r="I4" s="97" t="s">
        <v>13</v>
      </c>
      <c r="J4" s="114">
        <f>1+'ESTRATEGIAS '!N4</f>
        <v>1</v>
      </c>
      <c r="K4" s="115"/>
    </row>
    <row r="5" spans="1:14" ht="24.95" customHeight="1">
      <c r="B5" s="261"/>
      <c r="C5" s="262"/>
      <c r="D5" s="255"/>
      <c r="E5" s="255"/>
      <c r="F5" s="255"/>
      <c r="G5" s="255"/>
      <c r="H5" s="255"/>
      <c r="I5" s="97" t="s">
        <v>14</v>
      </c>
      <c r="J5" s="213">
        <f>+VIMIVA!N5</f>
        <v>0</v>
      </c>
      <c r="K5" s="214"/>
    </row>
    <row r="6" spans="1:14" ht="21" customHeight="1">
      <c r="H6"/>
    </row>
    <row r="7" spans="1:14" ht="21" customHeight="1">
      <c r="C7" s="256" t="s">
        <v>130</v>
      </c>
      <c r="D7" s="256"/>
      <c r="H7" s="16"/>
    </row>
    <row r="8" spans="1:14" ht="21" customHeight="1"/>
    <row r="9" spans="1:14" ht="44.25" customHeight="1">
      <c r="B9" s="241" t="s">
        <v>131</v>
      </c>
      <c r="C9" s="241"/>
      <c r="D9" s="20" t="s">
        <v>48</v>
      </c>
      <c r="E9" s="254" t="s">
        <v>132</v>
      </c>
      <c r="F9" s="254"/>
      <c r="G9" s="254"/>
      <c r="H9" s="20" t="s">
        <v>50</v>
      </c>
      <c r="I9" s="225" t="s">
        <v>133</v>
      </c>
      <c r="J9" s="225"/>
      <c r="K9" s="225"/>
    </row>
    <row r="10" spans="1:14" ht="31.5" customHeight="1">
      <c r="B10" s="241"/>
      <c r="C10" s="241"/>
      <c r="D10" s="85" t="str">
        <f>+FODA!D14</f>
        <v>O1</v>
      </c>
      <c r="E10" s="226" t="str">
        <f>+FODA!E14</f>
        <v>mercado en que se va a generar el proyecto</v>
      </c>
      <c r="F10" s="227"/>
      <c r="G10" s="228"/>
      <c r="H10" s="86" t="s">
        <v>54</v>
      </c>
      <c r="I10" s="230" t="str">
        <f>+FODA!I14</f>
        <v>tendencia al incremento de app</v>
      </c>
      <c r="J10" s="230"/>
      <c r="K10" s="230"/>
    </row>
    <row r="11" spans="1:14" ht="31.5" customHeight="1">
      <c r="B11" s="241"/>
      <c r="C11" s="241"/>
      <c r="D11" s="85" t="s">
        <v>56</v>
      </c>
      <c r="E11" s="226" t="str">
        <f>+FODA!E15</f>
        <v xml:space="preserve">generar tendencia en el producto desarrolado </v>
      </c>
      <c r="F11" s="227"/>
      <c r="G11" s="228"/>
      <c r="H11" s="86" t="s">
        <v>58</v>
      </c>
      <c r="I11" s="230" t="str">
        <f>+FODA!I15</f>
        <v>disponibilidad de internet</v>
      </c>
      <c r="J11" s="230"/>
      <c r="K11" s="230"/>
    </row>
    <row r="12" spans="1:14" ht="31.5" customHeight="1">
      <c r="B12" s="241"/>
      <c r="C12" s="241"/>
      <c r="D12" s="85" t="s">
        <v>60</v>
      </c>
      <c r="E12" s="226" t="str">
        <f>+FODA!E16</f>
        <v>escalabilidad aplicación web</v>
      </c>
      <c r="F12" s="227"/>
      <c r="G12" s="228"/>
      <c r="H12" s="86" t="s">
        <v>62</v>
      </c>
      <c r="I12" s="230" t="str">
        <f>+FODA!I16</f>
        <v>fallo en los servidor</v>
      </c>
      <c r="J12" s="230"/>
      <c r="K12" s="230"/>
    </row>
    <row r="13" spans="1:14" ht="31.5" customHeight="1">
      <c r="B13" s="241"/>
      <c r="C13" s="241"/>
      <c r="D13" s="85" t="s">
        <v>64</v>
      </c>
      <c r="E13" s="226" t="str">
        <f>+FODA!E17</f>
        <v>calidad en el servicio atraves de las pqrs</v>
      </c>
      <c r="F13" s="227"/>
      <c r="G13" s="228"/>
      <c r="H13" s="86" t="s">
        <v>66</v>
      </c>
      <c r="I13" s="230" t="str">
        <f>+FODA!I17</f>
        <v>cambio en el sistema de salud</v>
      </c>
      <c r="J13" s="230"/>
      <c r="K13" s="230"/>
    </row>
    <row r="14" spans="1:14" ht="31.5" customHeight="1">
      <c r="B14" s="241"/>
      <c r="C14" s="241"/>
      <c r="D14" s="85" t="s">
        <v>68</v>
      </c>
      <c r="E14" s="226" t="str">
        <f>+FODA!E18</f>
        <v>Desarrollor evolutivos</v>
      </c>
      <c r="F14" s="227"/>
      <c r="G14" s="228"/>
      <c r="H14" s="86" t="s">
        <v>70</v>
      </c>
      <c r="I14" s="230" t="str">
        <f>+FODA!I18</f>
        <v>fallo en las actualizaciones de los sistemas operativos</v>
      </c>
      <c r="J14" s="230"/>
      <c r="K14" s="230"/>
    </row>
    <row r="15" spans="1:14" ht="59.25" customHeight="1">
      <c r="B15" s="237" t="s">
        <v>134</v>
      </c>
      <c r="C15" s="238"/>
      <c r="D15" s="18" t="s">
        <v>135</v>
      </c>
      <c r="E15" s="248" t="s">
        <v>136</v>
      </c>
      <c r="F15" s="249"/>
      <c r="G15" s="250"/>
      <c r="H15" s="17" t="s">
        <v>137</v>
      </c>
      <c r="I15" s="251" t="s">
        <v>138</v>
      </c>
      <c r="J15" s="252"/>
      <c r="K15" s="253"/>
    </row>
    <row r="16" spans="1:14" ht="45" customHeight="1">
      <c r="B16" s="74" t="str">
        <f>+FODA!D8</f>
        <v>F1</v>
      </c>
      <c r="C16" s="87" t="str">
        <f>+FODA!E8</f>
        <v>Desarrollo intuitivo con nuevas inteligencias disrruptivas</v>
      </c>
      <c r="D16" s="89"/>
      <c r="E16" s="231"/>
      <c r="F16" s="232"/>
      <c r="G16" s="233"/>
      <c r="H16" s="91"/>
      <c r="I16" s="231"/>
      <c r="J16" s="232"/>
      <c r="K16" s="233"/>
    </row>
    <row r="17" spans="2:11" ht="45" customHeight="1">
      <c r="B17" s="74" t="str">
        <f>+FODA!D9</f>
        <v>F2</v>
      </c>
      <c r="C17" s="87" t="str">
        <f>+FODA!E9</f>
        <v>soluciones innovadoras</v>
      </c>
      <c r="D17" s="89"/>
      <c r="E17" s="229"/>
      <c r="F17" s="229"/>
      <c r="G17" s="229"/>
      <c r="H17" s="91"/>
      <c r="I17" s="231"/>
      <c r="J17" s="232"/>
      <c r="K17" s="233"/>
    </row>
    <row r="18" spans="2:11" ht="45" customHeight="1">
      <c r="B18" s="74" t="str">
        <f>+FODA!D10</f>
        <v>F3</v>
      </c>
      <c r="C18" s="87" t="str">
        <f>+FODA!E10</f>
        <v>mejorar el servicio de atencion a personas discapacitadas</v>
      </c>
      <c r="D18" s="89"/>
      <c r="E18" s="229"/>
      <c r="F18" s="229"/>
      <c r="G18" s="229"/>
      <c r="H18" s="91"/>
      <c r="I18" s="231"/>
      <c r="J18" s="232"/>
      <c r="K18" s="233"/>
    </row>
    <row r="19" spans="2:11" ht="45" customHeight="1">
      <c r="B19" s="74" t="str">
        <f>+FODA!D11</f>
        <v>F4</v>
      </c>
      <c r="C19" s="87" t="str">
        <f>+FODA!E11</f>
        <v>manejamos precios competitivos con calidad y servicio</v>
      </c>
      <c r="D19" s="90"/>
      <c r="E19" s="229"/>
      <c r="F19" s="229"/>
      <c r="G19" s="229"/>
      <c r="H19" s="92"/>
      <c r="I19" s="234"/>
      <c r="J19" s="235"/>
      <c r="K19" s="236"/>
    </row>
    <row r="20" spans="2:11" ht="45" customHeight="1">
      <c r="B20" s="74" t="str">
        <f>+FODA!D12</f>
        <v>F5</v>
      </c>
      <c r="C20" s="87" t="str">
        <f>+FODA!E12</f>
        <v xml:space="preserve">manejo de informacion en una sola plataforma </v>
      </c>
      <c r="D20" s="89"/>
      <c r="E20" s="231"/>
      <c r="F20" s="232"/>
      <c r="G20" s="233"/>
      <c r="H20" s="93"/>
      <c r="I20" s="231"/>
      <c r="J20" s="232"/>
      <c r="K20" s="233"/>
    </row>
    <row r="21" spans="2:11" ht="60.75" customHeight="1">
      <c r="B21" s="239" t="s">
        <v>139</v>
      </c>
      <c r="C21" s="240"/>
      <c r="D21" s="18" t="s">
        <v>140</v>
      </c>
      <c r="E21" s="242" t="s">
        <v>141</v>
      </c>
      <c r="F21" s="243"/>
      <c r="G21" s="244"/>
      <c r="H21" s="17" t="s">
        <v>142</v>
      </c>
      <c r="I21" s="245" t="s">
        <v>143</v>
      </c>
      <c r="J21" s="246"/>
      <c r="K21" s="247"/>
    </row>
    <row r="22" spans="2:11" ht="41.25" customHeight="1">
      <c r="B22" s="88" t="str">
        <f>+FODA!H8</f>
        <v>D1</v>
      </c>
      <c r="C22" s="88" t="str">
        <f>+FODA!I8</f>
        <v xml:space="preserve">Falta de personal </v>
      </c>
      <c r="D22" s="89"/>
      <c r="E22" s="229"/>
      <c r="F22" s="229"/>
      <c r="G22" s="229"/>
      <c r="H22" s="91"/>
      <c r="I22" s="231"/>
      <c r="J22" s="232"/>
      <c r="K22" s="233"/>
    </row>
    <row r="23" spans="2:11" ht="56.25" customHeight="1">
      <c r="B23" s="88" t="str">
        <f>+FODA!H9</f>
        <v>D2</v>
      </c>
      <c r="C23" s="88" t="str">
        <f>+FODA!I9</f>
        <v xml:space="preserve">musculo financiero </v>
      </c>
      <c r="D23" s="89"/>
      <c r="E23" s="229"/>
      <c r="F23" s="229"/>
      <c r="G23" s="229"/>
      <c r="H23" s="91"/>
      <c r="I23" s="231"/>
      <c r="J23" s="232"/>
      <c r="K23" s="233"/>
    </row>
    <row r="24" spans="2:11" ht="36" customHeight="1">
      <c r="B24" s="88" t="str">
        <f>+FODA!H10</f>
        <v>D3</v>
      </c>
      <c r="C24" s="88" t="str">
        <f>+FODA!I10</f>
        <v>posisionamiento en el mercado</v>
      </c>
      <c r="D24" s="89"/>
      <c r="E24" s="229"/>
      <c r="F24" s="229"/>
      <c r="G24" s="229"/>
      <c r="H24" s="94"/>
      <c r="I24" s="234"/>
      <c r="J24" s="235"/>
      <c r="K24" s="236"/>
    </row>
    <row r="25" spans="2:11" ht="36" customHeight="1">
      <c r="B25" s="88" t="str">
        <f>+FODA!H11</f>
        <v>D4</v>
      </c>
      <c r="C25" s="88" t="str">
        <f>+FODA!I11</f>
        <v>tiempo de trabajo del stayholder</v>
      </c>
      <c r="D25" s="89"/>
      <c r="E25" s="229"/>
      <c r="F25" s="229"/>
      <c r="G25" s="229"/>
      <c r="H25" s="94"/>
      <c r="I25" s="234"/>
      <c r="J25" s="235"/>
      <c r="K25" s="236"/>
    </row>
    <row r="26" spans="2:11" ht="36" customHeight="1">
      <c r="B26" s="88" t="str">
        <f>+FODA!H12</f>
        <v>D5</v>
      </c>
      <c r="C26" s="88" t="str">
        <f>+FODA!I12</f>
        <v>manejo de herramientas  interactivas</v>
      </c>
      <c r="D26" s="89"/>
      <c r="E26" s="229"/>
      <c r="F26" s="229"/>
      <c r="G26" s="229"/>
      <c r="H26" s="94"/>
      <c r="I26" s="234"/>
      <c r="J26" s="235"/>
      <c r="K26" s="236"/>
    </row>
    <row r="27" spans="2:11" ht="27.95" customHeight="1"/>
    <row r="30" spans="2:11" ht="15.75">
      <c r="H30" s="21"/>
    </row>
    <row r="31" spans="2:11" ht="15.75">
      <c r="H31" s="21"/>
    </row>
  </sheetData>
  <mergeCells count="45">
    <mergeCell ref="J2:K2"/>
    <mergeCell ref="J5:K5"/>
    <mergeCell ref="D2:H3"/>
    <mergeCell ref="D4:H5"/>
    <mergeCell ref="C7:D7"/>
    <mergeCell ref="B2:C5"/>
    <mergeCell ref="B15:C15"/>
    <mergeCell ref="B21:C21"/>
    <mergeCell ref="B9:C14"/>
    <mergeCell ref="I14:K14"/>
    <mergeCell ref="E10:G10"/>
    <mergeCell ref="E11:G11"/>
    <mergeCell ref="E16:G16"/>
    <mergeCell ref="I19:K19"/>
    <mergeCell ref="I10:K10"/>
    <mergeCell ref="I11:K11"/>
    <mergeCell ref="I12:K12"/>
    <mergeCell ref="E21:G21"/>
    <mergeCell ref="I21:K21"/>
    <mergeCell ref="E15:G15"/>
    <mergeCell ref="I15:K15"/>
    <mergeCell ref="E9:G9"/>
    <mergeCell ref="E26:G26"/>
    <mergeCell ref="I22:K22"/>
    <mergeCell ref="I23:K23"/>
    <mergeCell ref="I24:K24"/>
    <mergeCell ref="I25:K25"/>
    <mergeCell ref="E24:G24"/>
    <mergeCell ref="E22:G22"/>
    <mergeCell ref="E23:G23"/>
    <mergeCell ref="I26:K26"/>
    <mergeCell ref="I9:K9"/>
    <mergeCell ref="E12:G12"/>
    <mergeCell ref="E19:G19"/>
    <mergeCell ref="I13:K13"/>
    <mergeCell ref="E25:G25"/>
    <mergeCell ref="E13:G13"/>
    <mergeCell ref="E14:G14"/>
    <mergeCell ref="E20:G20"/>
    <mergeCell ref="E17:G17"/>
    <mergeCell ref="E18:G18"/>
    <mergeCell ref="I16:K16"/>
    <mergeCell ref="I17:K17"/>
    <mergeCell ref="I18:K18"/>
    <mergeCell ref="I20:K20"/>
  </mergeCells>
  <pageMargins left="0.25" right="0.25" top="1" bottom="1"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9"/>
  <sheetViews>
    <sheetView showGridLines="0" zoomScaleNormal="100" workbookViewId="0">
      <pane ySplit="9" topLeftCell="A10" activePane="bottomLeft" state="frozen"/>
      <selection pane="bottomLeft" activeCell="C17" sqref="C17"/>
    </sheetView>
  </sheetViews>
  <sheetFormatPr defaultColWidth="11.42578125" defaultRowHeight="15"/>
  <cols>
    <col min="1" max="1" width="3.140625" customWidth="1"/>
    <col min="2" max="2" width="15.5703125" bestFit="1" customWidth="1"/>
    <col min="3" max="3" width="50.85546875" style="1" customWidth="1"/>
    <col min="4" max="4" width="30.28515625" customWidth="1"/>
    <col min="5" max="5" width="32.42578125" customWidth="1"/>
    <col min="6" max="6" width="17.7109375" style="1" customWidth="1"/>
    <col min="7" max="7" width="12.42578125" style="42" bestFit="1" customWidth="1"/>
    <col min="8" max="8" width="15.42578125" style="42" customWidth="1"/>
  </cols>
  <sheetData>
    <row r="1" spans="2:9" ht="8.25" customHeight="1"/>
    <row r="2" spans="2:9" ht="16.5" customHeight="1">
      <c r="B2" s="33"/>
      <c r="C2" s="192" t="str">
        <f>+VIMIVA!D2</f>
        <v>ARCDATA</v>
      </c>
      <c r="D2" s="192"/>
      <c r="E2" s="81" t="s">
        <v>11</v>
      </c>
      <c r="F2" s="211"/>
      <c r="G2" s="212"/>
    </row>
    <row r="3" spans="2:9" ht="16.5" customHeight="1">
      <c r="B3" s="34"/>
      <c r="C3" s="192"/>
      <c r="D3" s="192"/>
      <c r="E3" s="81" t="s">
        <v>12</v>
      </c>
      <c r="F3" s="211"/>
      <c r="G3" s="212"/>
    </row>
    <row r="4" spans="2:9" ht="16.5" customHeight="1">
      <c r="B4" s="34"/>
      <c r="C4" s="192" t="s">
        <v>21</v>
      </c>
      <c r="D4" s="192"/>
      <c r="E4" s="81" t="s">
        <v>13</v>
      </c>
      <c r="F4" s="211"/>
      <c r="G4" s="212"/>
    </row>
    <row r="5" spans="2:9" ht="16.5" customHeight="1">
      <c r="B5" s="35"/>
      <c r="C5" s="192"/>
      <c r="D5" s="192"/>
      <c r="E5" s="81" t="s">
        <v>14</v>
      </c>
      <c r="F5" s="211"/>
      <c r="G5" s="212"/>
    </row>
    <row r="6" spans="2:9" ht="10.5" customHeight="1">
      <c r="F6"/>
      <c r="G6"/>
    </row>
    <row r="7" spans="2:9" ht="15.75">
      <c r="B7" s="41" t="s">
        <v>144</v>
      </c>
    </row>
    <row r="8" spans="2:9" ht="9" customHeight="1"/>
    <row r="9" spans="2:9" ht="33.75" customHeight="1">
      <c r="B9" s="32" t="s">
        <v>145</v>
      </c>
      <c r="C9" s="31" t="s">
        <v>146</v>
      </c>
      <c r="D9" s="265" t="s">
        <v>147</v>
      </c>
      <c r="E9" s="266"/>
      <c r="F9" s="31" t="s">
        <v>148</v>
      </c>
      <c r="G9" s="31" t="s">
        <v>149</v>
      </c>
      <c r="H9" s="31" t="s">
        <v>150</v>
      </c>
      <c r="I9" s="31" t="s">
        <v>151</v>
      </c>
    </row>
    <row r="10" spans="2:9">
      <c r="B10" s="37">
        <f>+'ESTRATEGIAS '!D16</f>
        <v>0</v>
      </c>
      <c r="C10" s="73">
        <f>+'ESTRATEGIAS '!E16</f>
        <v>0</v>
      </c>
      <c r="D10" s="263"/>
      <c r="E10" s="264"/>
      <c r="F10" s="80"/>
      <c r="G10" s="82"/>
      <c r="H10" s="82"/>
      <c r="I10" s="83"/>
    </row>
    <row r="11" spans="2:9" ht="43.5" customHeight="1">
      <c r="B11" s="37">
        <f>+'ESTRATEGIAS '!D17</f>
        <v>0</v>
      </c>
      <c r="C11" s="73">
        <f>+'ESTRATEGIAS '!E17</f>
        <v>0</v>
      </c>
      <c r="D11" s="263"/>
      <c r="E11" s="264"/>
      <c r="F11" s="80"/>
      <c r="G11" s="82"/>
      <c r="H11" s="82"/>
      <c r="I11" s="83"/>
    </row>
    <row r="12" spans="2:9">
      <c r="B12" s="37">
        <f>+'ESTRATEGIAS '!D18</f>
        <v>0</v>
      </c>
      <c r="C12" s="73">
        <f>+'ESTRATEGIAS '!E18</f>
        <v>0</v>
      </c>
      <c r="D12" s="263"/>
      <c r="E12" s="264"/>
      <c r="F12" s="80"/>
      <c r="G12" s="82"/>
      <c r="H12" s="82"/>
      <c r="I12" s="83"/>
    </row>
    <row r="13" spans="2:9" ht="42.75" customHeight="1">
      <c r="B13" s="40">
        <f>+'ESTRATEGIAS '!H16</f>
        <v>0</v>
      </c>
      <c r="C13" s="73">
        <f>+'ESTRATEGIAS '!I16</f>
        <v>0</v>
      </c>
      <c r="D13" s="263"/>
      <c r="E13" s="264"/>
      <c r="F13" s="80"/>
      <c r="G13" s="82"/>
      <c r="H13" s="82"/>
      <c r="I13" s="83"/>
    </row>
    <row r="14" spans="2:9">
      <c r="B14" s="40">
        <f>+'ESTRATEGIAS '!H17</f>
        <v>0</v>
      </c>
      <c r="C14" s="73">
        <f>+'ESTRATEGIAS '!I17</f>
        <v>0</v>
      </c>
      <c r="D14" s="263"/>
      <c r="E14" s="264"/>
      <c r="F14" s="80"/>
      <c r="G14" s="82"/>
      <c r="H14" s="82"/>
      <c r="I14" s="83"/>
    </row>
    <row r="15" spans="2:9">
      <c r="B15" s="40">
        <f>+'ESTRATEGIAS '!H18</f>
        <v>0</v>
      </c>
      <c r="C15" s="73">
        <f>+'ESTRATEGIAS '!I18</f>
        <v>0</v>
      </c>
      <c r="D15" s="263"/>
      <c r="E15" s="264"/>
      <c r="F15" s="80"/>
      <c r="G15" s="82"/>
      <c r="H15" s="82"/>
      <c r="I15" s="83"/>
    </row>
    <row r="16" spans="2:9">
      <c r="B16" s="37">
        <f>+'ESTRATEGIAS '!D22</f>
        <v>0</v>
      </c>
      <c r="C16" s="73">
        <f>+'ESTRATEGIAS '!E22</f>
        <v>0</v>
      </c>
      <c r="D16" s="263"/>
      <c r="E16" s="264"/>
      <c r="F16" s="80"/>
      <c r="G16" s="82"/>
      <c r="H16" s="82"/>
      <c r="I16" s="83"/>
    </row>
    <row r="17" spans="2:9">
      <c r="B17" s="37">
        <f>+'ESTRATEGIAS '!D23</f>
        <v>0</v>
      </c>
      <c r="C17" s="73">
        <f>+'ESTRATEGIAS '!E23</f>
        <v>0</v>
      </c>
      <c r="D17" s="263"/>
      <c r="E17" s="264"/>
      <c r="F17" s="84"/>
      <c r="G17" s="82"/>
      <c r="H17" s="82"/>
      <c r="I17" s="83"/>
    </row>
    <row r="18" spans="2:9">
      <c r="B18" s="37">
        <f>+'ESTRATEGIAS '!H22</f>
        <v>0</v>
      </c>
      <c r="C18" s="73">
        <f>+'ESTRATEGIAS '!I22</f>
        <v>0</v>
      </c>
      <c r="D18" s="263"/>
      <c r="E18" s="264"/>
      <c r="F18" s="80"/>
      <c r="G18" s="82"/>
      <c r="H18" s="82"/>
      <c r="I18" s="83"/>
    </row>
    <row r="19" spans="2:9">
      <c r="B19" s="37">
        <f>+'ESTRATEGIAS '!H23</f>
        <v>0</v>
      </c>
      <c r="C19" s="73">
        <f>+'ESTRATEGIAS '!I23</f>
        <v>0</v>
      </c>
      <c r="D19" s="181"/>
      <c r="E19" s="181"/>
      <c r="F19" s="84"/>
      <c r="G19" s="82"/>
      <c r="H19" s="82"/>
      <c r="I19" s="83"/>
    </row>
  </sheetData>
  <mergeCells count="17">
    <mergeCell ref="F2:G2"/>
    <mergeCell ref="F5:G5"/>
    <mergeCell ref="C2:D3"/>
    <mergeCell ref="C4:D5"/>
    <mergeCell ref="D9:E9"/>
    <mergeCell ref="F3:G3"/>
    <mergeCell ref="F4:G4"/>
    <mergeCell ref="D10:E10"/>
    <mergeCell ref="D17:E17"/>
    <mergeCell ref="D18:E18"/>
    <mergeCell ref="D19:E19"/>
    <mergeCell ref="D11:E11"/>
    <mergeCell ref="D12:E12"/>
    <mergeCell ref="D13:E13"/>
    <mergeCell ref="D14:E14"/>
    <mergeCell ref="D15:E15"/>
    <mergeCell ref="D16:E16"/>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36"/>
  <sheetViews>
    <sheetView showGridLines="0" zoomScaleNormal="100" workbookViewId="0">
      <selection activeCell="B3" sqref="B3"/>
    </sheetView>
  </sheetViews>
  <sheetFormatPr defaultColWidth="11.42578125" defaultRowHeight="15"/>
  <cols>
    <col min="1" max="1" width="4.7109375" customWidth="1"/>
    <col min="2" max="2" width="20" bestFit="1" customWidth="1"/>
    <col min="3" max="3" width="15.42578125" customWidth="1"/>
    <col min="7" max="7" width="17.7109375" customWidth="1"/>
    <col min="8" max="9" width="15.7109375" customWidth="1"/>
    <col min="10" max="10" width="13.28515625" customWidth="1"/>
    <col min="11" max="11" width="14.140625" customWidth="1"/>
    <col min="12" max="12" width="12.5703125" customWidth="1"/>
  </cols>
  <sheetData>
    <row r="2" spans="2:9" ht="15" customHeight="1">
      <c r="B2" s="33"/>
      <c r="C2" s="180" t="str">
        <f>+VIMIVA!D2</f>
        <v>ARCDATA</v>
      </c>
      <c r="D2" s="180"/>
      <c r="E2" s="180"/>
      <c r="F2" s="180"/>
      <c r="G2" s="81" t="s">
        <v>11</v>
      </c>
      <c r="H2" s="211">
        <f>+VIMIVA!J2</f>
        <v>0</v>
      </c>
      <c r="I2" s="212"/>
    </row>
    <row r="3" spans="2:9" ht="15" customHeight="1">
      <c r="B3" s="34"/>
      <c r="C3" s="180"/>
      <c r="D3" s="180"/>
      <c r="E3" s="180"/>
      <c r="F3" s="180"/>
      <c r="G3" s="81" t="s">
        <v>12</v>
      </c>
      <c r="H3" s="211">
        <f>+VIMIVA!J3</f>
        <v>0</v>
      </c>
      <c r="I3" s="212"/>
    </row>
    <row r="4" spans="2:9" ht="15" customHeight="1">
      <c r="B4" s="34"/>
      <c r="C4" s="180" t="s">
        <v>21</v>
      </c>
      <c r="D4" s="180"/>
      <c r="E4" s="180"/>
      <c r="F4" s="180"/>
      <c r="G4" s="81" t="s">
        <v>13</v>
      </c>
      <c r="H4" s="211">
        <f>1+'PLANES DE ACCION'!F4</f>
        <v>1</v>
      </c>
      <c r="I4" s="212"/>
    </row>
    <row r="5" spans="2:9" ht="15" customHeight="1">
      <c r="B5" s="35"/>
      <c r="C5" s="180"/>
      <c r="D5" s="180"/>
      <c r="E5" s="180"/>
      <c r="F5" s="180"/>
      <c r="G5" s="81" t="s">
        <v>14</v>
      </c>
      <c r="H5" s="213">
        <f>+VIMIVA!J5</f>
        <v>0</v>
      </c>
      <c r="I5" s="214"/>
    </row>
    <row r="6" spans="2:9">
      <c r="C6" s="1"/>
    </row>
    <row r="7" spans="2:9" ht="18.75">
      <c r="B7" s="23" t="s">
        <v>152</v>
      </c>
    </row>
    <row r="10" spans="2:9" ht="18.75">
      <c r="B10" s="23"/>
    </row>
    <row r="13" spans="2:9" s="24" customFormat="1" ht="18.75" customHeight="1"/>
    <row r="14" spans="2:9" s="24" customFormat="1" ht="18.75" customHeight="1"/>
    <row r="15" spans="2:9" s="24" customFormat="1" ht="18.75" customHeight="1"/>
    <row r="16" spans="2:9" s="24" customFormat="1" ht="18.75" customHeight="1"/>
    <row r="20" spans="2:15">
      <c r="C20" s="50" t="s">
        <v>85</v>
      </c>
      <c r="D20" s="50" t="s">
        <v>153</v>
      </c>
      <c r="G20" s="50" t="s">
        <v>85</v>
      </c>
      <c r="H20" s="4" t="s">
        <v>154</v>
      </c>
      <c r="K20" s="50" t="s">
        <v>155</v>
      </c>
      <c r="L20" s="50" t="s">
        <v>128</v>
      </c>
    </row>
    <row r="21" spans="2:15" ht="15.75">
      <c r="C21" s="44" t="s">
        <v>95</v>
      </c>
      <c r="D21" s="65">
        <f>+FACTORES!M22</f>
        <v>0.3300970873786408</v>
      </c>
      <c r="G21" s="44" t="s">
        <v>24</v>
      </c>
      <c r="H21" s="45">
        <f>+FACTORES!L22</f>
        <v>238</v>
      </c>
      <c r="K21" s="53" t="s">
        <v>156</v>
      </c>
      <c r="L21" s="71">
        <f>+COUNTIFS('PLANES DE ACCION'!I10:I19,DASHBOARD!K21)</f>
        <v>0</v>
      </c>
    </row>
    <row r="22" spans="2:15" ht="15.75">
      <c r="C22" s="46" t="s">
        <v>120</v>
      </c>
      <c r="D22" s="66">
        <f>+FACTORES!M23</f>
        <v>0.17891816920943135</v>
      </c>
      <c r="G22" s="46" t="s">
        <v>26</v>
      </c>
      <c r="H22" s="45">
        <f>+FACTORES!L23</f>
        <v>129</v>
      </c>
      <c r="K22" s="52" t="s">
        <v>157</v>
      </c>
      <c r="L22" s="70">
        <f>+COUNTIFS('PLANES DE ACCION'!I10:I19,DASHBOARD!K22)</f>
        <v>0</v>
      </c>
    </row>
    <row r="23" spans="2:15" ht="15.75">
      <c r="C23" s="47" t="s">
        <v>126</v>
      </c>
      <c r="D23" s="67">
        <f>+FACTORES!M24</f>
        <v>0.20804438280166435</v>
      </c>
      <c r="G23" s="47" t="s">
        <v>49</v>
      </c>
      <c r="H23" s="45">
        <f>+FACTORES!L24</f>
        <v>150</v>
      </c>
      <c r="K23" s="54" t="s">
        <v>158</v>
      </c>
      <c r="L23" s="72">
        <f>+COUNTIFS('PLANES DE ACCION'!I10:I19,DASHBOARD!K23)</f>
        <v>0</v>
      </c>
    </row>
    <row r="24" spans="2:15" ht="15.75">
      <c r="C24" s="48" t="s">
        <v>127</v>
      </c>
      <c r="D24" s="68">
        <f>+FACTORES!M25</f>
        <v>0.28294036061026351</v>
      </c>
      <c r="G24" s="48" t="s">
        <v>51</v>
      </c>
      <c r="H24" s="45">
        <f>+FACTORES!L25</f>
        <v>204</v>
      </c>
    </row>
    <row r="27" spans="2:15" ht="18.75">
      <c r="B27" s="29" t="s">
        <v>159</v>
      </c>
      <c r="C27" s="30"/>
      <c r="D27" s="22">
        <f>+((H21+H23)-(H22+H24))/((H21+H23)+(H22+H24))*2</f>
        <v>0.15256588072122051</v>
      </c>
      <c r="E27" s="267" t="str">
        <f>+IF(D27&lt;-200%,B30,IF(D27&lt;-100%,B31,IF(D27&lt;-30%,B32,IF(D27&lt;100%,B33,B34))))</f>
        <v>FAVORABLE</v>
      </c>
      <c r="F27" s="267"/>
      <c r="G27" s="267"/>
      <c r="H27" s="267"/>
      <c r="O27" s="49"/>
    </row>
    <row r="29" spans="2:15">
      <c r="B29" s="55" t="s">
        <v>160</v>
      </c>
      <c r="C29" s="55" t="s">
        <v>161</v>
      </c>
      <c r="D29" s="55" t="s">
        <v>162</v>
      </c>
    </row>
    <row r="30" spans="2:15" ht="15.75">
      <c r="B30" s="58" t="s">
        <v>163</v>
      </c>
      <c r="C30" s="61">
        <v>-2</v>
      </c>
      <c r="D30" s="61">
        <v>-1</v>
      </c>
      <c r="G30" s="25" t="s">
        <v>95</v>
      </c>
      <c r="H30" t="s">
        <v>164</v>
      </c>
    </row>
    <row r="31" spans="2:15" ht="15.75">
      <c r="B31" s="56" t="s">
        <v>165</v>
      </c>
      <c r="C31" s="61">
        <v>-1</v>
      </c>
      <c r="D31" s="61">
        <v>-0.3</v>
      </c>
      <c r="G31" s="26" t="s">
        <v>120</v>
      </c>
      <c r="H31" t="s">
        <v>166</v>
      </c>
    </row>
    <row r="32" spans="2:15" ht="15.75">
      <c r="B32" s="57" t="s">
        <v>167</v>
      </c>
      <c r="C32" s="61">
        <v>-0.3</v>
      </c>
      <c r="D32" s="61">
        <v>0.3</v>
      </c>
      <c r="G32" s="27" t="s">
        <v>126</v>
      </c>
      <c r="H32" t="s">
        <v>168</v>
      </c>
    </row>
    <row r="33" spans="2:10" ht="15.75">
      <c r="B33" s="59" t="s">
        <v>169</v>
      </c>
      <c r="C33" s="61">
        <v>0.3</v>
      </c>
      <c r="D33" s="61">
        <v>1</v>
      </c>
      <c r="G33" s="28" t="s">
        <v>127</v>
      </c>
      <c r="H33" t="s">
        <v>170</v>
      </c>
    </row>
    <row r="34" spans="2:10">
      <c r="B34" s="60" t="s">
        <v>171</v>
      </c>
      <c r="C34" s="61">
        <v>1</v>
      </c>
      <c r="D34" s="61">
        <v>2</v>
      </c>
    </row>
    <row r="35" spans="2:10" ht="15.75" thickBot="1"/>
    <row r="36" spans="2:10" ht="15.75" thickBot="1">
      <c r="B36" s="64" t="s">
        <v>172</v>
      </c>
      <c r="C36" s="62" t="s">
        <v>173</v>
      </c>
      <c r="D36" s="62"/>
      <c r="E36" s="62"/>
      <c r="F36" s="62"/>
      <c r="G36" s="62"/>
      <c r="H36" s="62"/>
      <c r="I36" s="62"/>
      <c r="J36" s="63"/>
    </row>
  </sheetData>
  <mergeCells count="7">
    <mergeCell ref="E27:H27"/>
    <mergeCell ref="C2:F3"/>
    <mergeCell ref="C4:F5"/>
    <mergeCell ref="H2:I2"/>
    <mergeCell ref="H3:I3"/>
    <mergeCell ref="H4:I4"/>
    <mergeCell ref="H5:I5"/>
  </mergeCells>
  <conditionalFormatting sqref="H21:H24">
    <cfRule type="dataBar" priority="1">
      <dataBar>
        <cfvo type="min"/>
        <cfvo type="max"/>
        <color rgb="FF63C384"/>
      </dataBar>
      <extLst>
        <ext xmlns:x14="http://schemas.microsoft.com/office/spreadsheetml/2009/9/main" uri="{B025F937-C7B1-47D3-B67F-A62EFF666E3E}">
          <x14:id>{92BD13AE-CE4E-41A3-82ED-2B9FA2D1C1EE}</x14:id>
        </ext>
      </extLs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92BD13AE-CE4E-41A3-82ED-2B9FA2D1C1EE}">
            <x14:dataBar minLength="0" maxLength="100" negativeBarColorSameAsPositive="1" axisPosition="none">
              <x14:cfvo type="min"/>
              <x14:cfvo type="max"/>
            </x14:dataBar>
          </x14:cfRule>
          <xm:sqref>H21:H24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Julián Montero</dc:creator>
  <cp:keywords/>
  <dc:description/>
  <cp:lastModifiedBy>CESAR LEONARDO CIFUENTES GONZALEZ</cp:lastModifiedBy>
  <cp:revision/>
  <dcterms:created xsi:type="dcterms:W3CDTF">2015-05-25T14:42:39Z</dcterms:created>
  <dcterms:modified xsi:type="dcterms:W3CDTF">2024-08-28T21:48:25Z</dcterms:modified>
  <cp:category/>
  <cp:contentStatus/>
</cp:coreProperties>
</file>